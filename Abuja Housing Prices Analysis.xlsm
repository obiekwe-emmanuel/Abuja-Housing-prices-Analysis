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drawings/drawing6.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slicers/slicer6.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C:\Users\Administrator\Desktop\"/>
    </mc:Choice>
  </mc:AlternateContent>
  <xr:revisionPtr revIDLastSave="0" documentId="13_ncr:1_{F63817EB-2A78-449A-B36A-AF87D2268C0E}" xr6:coauthVersionLast="47" xr6:coauthVersionMax="47" xr10:uidLastSave="{00000000-0000-0000-0000-000000000000}"/>
  <bookViews>
    <workbookView xWindow="-108" yWindow="-108" windowWidth="23256" windowHeight="12576" tabRatio="890" firstSheet="1" activeTab="1" xr2:uid="{10DB13BF-3750-4F14-AB53-36F77386F3E5}"/>
  </bookViews>
  <sheets>
    <sheet name="groundwork_abuja_housing_v1" sheetId="1" state="hidden" r:id="rId1"/>
    <sheet name="Landing Page" sheetId="12" r:id="rId2"/>
    <sheet name="Rent Data " sheetId="9" r:id="rId3"/>
    <sheet name="Sale Data" sheetId="2" r:id="rId4"/>
    <sheet name="Pivot Table Rent" sheetId="6" r:id="rId5"/>
    <sheet name="Rent Dashboard 1" sheetId="8" r:id="rId6"/>
    <sheet name="Rent Dashboard 2" sheetId="10" r:id="rId7"/>
    <sheet name="Pivot Table Sale" sheetId="5" r:id="rId8"/>
    <sheet name="Sale Dashboard 1" sheetId="7" r:id="rId9"/>
    <sheet name="Sale Dashboard 2" sheetId="11" r:id="rId10"/>
  </sheets>
  <definedNames>
    <definedName name="_xlchart.v2.0" hidden="1">'Pivot Table Rent'!$D$62:$D$77</definedName>
    <definedName name="_xlchart.v2.1" hidden="1">'Pivot Table Rent'!$E$62:$E$77</definedName>
    <definedName name="_xlcn.WorksheetConnection_Groundwork_abuja_housing_v1.csv.xlsxTable21" hidden="1">Rent_Table[]</definedName>
    <definedName name="_xlcn.WorksheetConnection_Groundwork_abuja_housing_v1.csv.xlsxTable31" hidden="1">Sale_Table[]</definedName>
    <definedName name="_xlcn.WorksheetConnection_PivotTableRentF82G971" hidden="1">'Pivot Table Rent'!$F$82:$G$97</definedName>
    <definedName name="Slicer_area">#N/A</definedName>
    <definedName name="Slicer_area1">#N/A</definedName>
    <definedName name="Slicer_Price_Tier">#N/A</definedName>
    <definedName name="Slicer_Price_Tier1">#N/A</definedName>
  </definedNames>
  <calcPr calcId="191029"/>
  <pivotCaches>
    <pivotCache cacheId="504" r:id="rId11"/>
    <pivotCache cacheId="507" r:id="rId12"/>
    <pivotCache cacheId="510" r:id="rId13"/>
    <pivotCache cacheId="513" r:id="rId14"/>
    <pivotCache cacheId="516" r:id="rId15"/>
    <pivotCache cacheId="519" r:id="rId16"/>
    <pivotCache cacheId="522" r:id="rId17"/>
    <pivotCache cacheId="525" r:id="rId18"/>
    <pivotCache cacheId="528" r:id="rId19"/>
    <pivotCache cacheId="531" r:id="rId20"/>
    <pivotCache cacheId="1557" r:id="rId21"/>
    <pivotCache cacheId="1560" r:id="rId22"/>
    <pivotCache cacheId="1563" r:id="rId23"/>
    <pivotCache cacheId="1566" r:id="rId24"/>
    <pivotCache cacheId="1569" r:id="rId25"/>
    <pivotCache cacheId="1572" r:id="rId26"/>
    <pivotCache cacheId="1575" r:id="rId27"/>
    <pivotCache cacheId="1578" r:id="rId28"/>
    <pivotCache cacheId="1581" r:id="rId29"/>
    <pivotCache cacheId="1584" r:id="rId30"/>
    <pivotCache cacheId="1587" r:id="rId31"/>
  </pivotCaches>
  <extLst>
    <ext xmlns:x14="http://schemas.microsoft.com/office/spreadsheetml/2009/9/main" uri="{876F7934-8845-4945-9796-88D515C7AA90}">
      <x14:pivotCaches>
        <pivotCache cacheId="21" r:id="rId32"/>
      </x14:pivotCaches>
    </ext>
    <ext xmlns:x14="http://schemas.microsoft.com/office/spreadsheetml/2009/9/main" uri="{BBE1A952-AA13-448e-AADC-164F8A28A991}">
      <x14:slicerCaches>
        <x14:slicerCache r:id="rId33"/>
        <x14:slicerCache r:id="rId34"/>
        <x14:slicerCache r:id="rId35"/>
        <x14:slicerCache r:id="rId3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Pivot Table Rent!$F$82:$G$97"/>
          <x15:modelTable id="Table3" name="Table3" connection="WorksheetConnection_Groundwork_abuja_housing_v1.csv.xlsx!Table3"/>
          <x15:modelTable id="Table2" name="Table2" connection="WorksheetConnection_Groundwork_abuja_housing_v1.csv.xlsx!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2" i="5" l="1"/>
  <c r="D62" i="6"/>
  <c r="E62" i="6"/>
  <c r="D63" i="6"/>
  <c r="E63" i="6"/>
  <c r="D64" i="6"/>
  <c r="E64" i="6"/>
  <c r="D65" i="6"/>
  <c r="E65" i="6"/>
  <c r="D66" i="6"/>
  <c r="E66" i="6"/>
  <c r="D67" i="6"/>
  <c r="E67" i="6"/>
  <c r="D68" i="6"/>
  <c r="E68" i="6"/>
  <c r="D69" i="6"/>
  <c r="E69" i="6"/>
  <c r="D70" i="6"/>
  <c r="E70" i="6"/>
  <c r="D71" i="6"/>
  <c r="E71" i="6"/>
  <c r="D72" i="6"/>
  <c r="E72" i="6"/>
  <c r="D73" i="6"/>
  <c r="E73" i="6"/>
  <c r="D74" i="6"/>
  <c r="E74" i="6"/>
  <c r="D75" i="6"/>
  <c r="E75" i="6"/>
  <c r="D76" i="6"/>
  <c r="E76" i="6"/>
  <c r="D77" i="6"/>
  <c r="E77" i="6"/>
  <c r="A62" i="5"/>
  <c r="D47" i="5"/>
  <c r="A47" i="5"/>
  <c r="A60" i="6"/>
  <c r="A25" i="5"/>
  <c r="D3" i="5"/>
  <c r="A3" i="5"/>
  <c r="D3" i="6"/>
  <c r="D47" i="6"/>
  <c r="A47" i="6"/>
  <c r="A3" i="6"/>
  <c r="A25" i="6"/>
  <c r="D25" i="6"/>
  <c r="N2" i="5"/>
  <c r="O2" i="5" s="1"/>
  <c r="N5" i="5"/>
  <c r="O5" i="5" s="1"/>
  <c r="N4" i="5"/>
  <c r="O4" i="5" s="1"/>
  <c r="N3" i="5"/>
  <c r="O3" i="5" s="1"/>
  <c r="N2" i="6"/>
  <c r="O2" i="6" s="1"/>
  <c r="N5" i="6"/>
  <c r="O5" i="6" s="1"/>
  <c r="N4" i="6"/>
  <c r="O4" i="6" s="1"/>
  <c r="N3" i="6"/>
  <c r="O3"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D01DB3-BC07-4E2E-BC83-4AF27EF5362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3F48659-A7DB-44D4-8AA7-F16525AC4412}" name="WorksheetConnection_Groundwork_abuja_housing_v1.csv.xlsx!Table2" type="102" refreshedVersion="8" minRefreshableVersion="5">
    <extLst>
      <ext xmlns:x15="http://schemas.microsoft.com/office/spreadsheetml/2010/11/main" uri="{DE250136-89BD-433C-8126-D09CA5730AF9}">
        <x15:connection id="Table2" autoDelete="1">
          <x15:rangePr sourceName="_xlcn.WorksheetConnection_Groundwork_abuja_housing_v1.csv.xlsxTable21"/>
        </x15:connection>
      </ext>
    </extLst>
  </connection>
  <connection id="3" xr16:uid="{B18D1C9E-BD8F-4FA3-9825-120B09750B6C}" name="WorksheetConnection_Groundwork_abuja_housing_v1.csv.xlsx!Table3" type="102" refreshedVersion="8" minRefreshableVersion="5">
    <extLst>
      <ext xmlns:x15="http://schemas.microsoft.com/office/spreadsheetml/2010/11/main" uri="{DE250136-89BD-433C-8126-D09CA5730AF9}">
        <x15:connection id="Table3" autoDelete="1">
          <x15:rangePr sourceName="_xlcn.WorksheetConnection_Groundwork_abuja_housing_v1.csv.xlsxTable31"/>
        </x15:connection>
      </ext>
    </extLst>
  </connection>
  <connection id="4" xr16:uid="{53FF2490-563D-4C87-AEEB-283DAACEDAE3}" name="WorksheetConnection_Pivot Table Rent!$F$82:$G$97" type="102" refreshedVersion="8" minRefreshableVersion="5">
    <extLst>
      <ext xmlns:x15="http://schemas.microsoft.com/office/spreadsheetml/2010/11/main" uri="{DE250136-89BD-433C-8126-D09CA5730AF9}">
        <x15:connection id="Range" autoDelete="1">
          <x15:rangePr sourceName="_xlcn.WorksheetConnection_PivotTableRentF82G971"/>
        </x15:connection>
      </ext>
    </extLst>
  </connection>
</connections>
</file>

<file path=xl/sharedStrings.xml><?xml version="1.0" encoding="utf-8"?>
<sst xmlns="http://schemas.openxmlformats.org/spreadsheetml/2006/main" count="7456" uniqueCount="1627">
  <si>
    <t>title</t>
  </si>
  <si>
    <t>price_ngn</t>
  </si>
  <si>
    <t>listing_type</t>
  </si>
  <si>
    <t>area</t>
  </si>
  <si>
    <t>neighbourhood</t>
  </si>
  <si>
    <t>address</t>
  </si>
  <si>
    <t>bedrooms</t>
  </si>
  <si>
    <t>bathrooms</t>
  </si>
  <si>
    <t>toilets</t>
  </si>
  <si>
    <t>property_type</t>
  </si>
  <si>
    <t>description</t>
  </si>
  <si>
    <t>pid</t>
  </si>
  <si>
    <t>date_added</t>
  </si>
  <si>
    <t>last_updated</t>
  </si>
  <si>
    <t>source_url</t>
  </si>
  <si>
    <t>3 Bedroom Flat</t>
  </si>
  <si>
    <t>sale</t>
  </si>
  <si>
    <t>Maitama</t>
  </si>
  <si>
    <t>Maitama Maitama Abuja</t>
  </si>
  <si>
    <t>Flat/Apartment</t>
  </si>
  <si>
    <t>Safety TipsDo not make any inspection fee without seeing the agent and property.Only pay Rental fee, Sales fee or any upfront payment after you verify the Landlord.Ensure you meet the Agent in an open location.The Agent does not represent PropertyPro and PropertyPro is not liable for any monetary transaction between you and the Agent.</t>
  </si>
  <si>
    <t>6NWGS</t>
  </si>
  <si>
    <t>https://www.propertypro.ng/property/3-bedroom-house-for-sale-maitama-maitama-abuja-6NWGS</t>
  </si>
  <si>
    <t>5 Bedroom Flat</t>
  </si>
  <si>
    <t>Minister's Hill Maitama Maitama Abuja</t>
  </si>
  <si>
    <t>7NUWQ</t>
  </si>
  <si>
    <t>https://www.propertypro.ng/property/5-bedroom-house-for-sale-ministers-hill-maitama-maitama-abuja-7NUWQ</t>
  </si>
  <si>
    <t>4 Bedroom Terraced Duplex</t>
  </si>
  <si>
    <t>Off Amazon Maitama Abuja</t>
  </si>
  <si>
    <t>Terraced Duplex</t>
  </si>
  <si>
    <t>2PBBH</t>
  </si>
  <si>
    <t>https://www.propertypro.ng/property/4-bedroom-house-for-sale-off-amazon-maitama-abuja-2PBBH</t>
  </si>
  <si>
    <t>4 Bedroom Flat</t>
  </si>
  <si>
    <t>Tarred Road Maitama Abuja</t>
  </si>
  <si>
    <t>2NKFW</t>
  </si>
  <si>
    <t>https://www.propertypro.ng/property/5-bedroom-house-for-sale-tarred-road-maitama-abuja-2NKFW</t>
  </si>
  <si>
    <t>4 Bedroom Fully Detached Duplex With Bq</t>
  </si>
  <si>
    <t>Maitama Abuja</t>
  </si>
  <si>
    <t>Detached Duplex</t>
  </si>
  <si>
    <t>2NXHG</t>
  </si>
  <si>
    <t>https://www.propertypro.ng/property/4-bedroom-house-for-sale-maitama-abuja-2NXHG</t>
  </si>
  <si>
    <t>Unfinished 5 Bedroom Detached Duplex With Bq</t>
  </si>
  <si>
    <t>Asokoro</t>
  </si>
  <si>
    <t>Naf Valley Estate, Asokoro Abuja</t>
  </si>
  <si>
    <t>6PBYS</t>
  </si>
  <si>
    <t>https://www.propertypro.ng/property/5-bedroom-house-for-sale-naf-valley-estate-asokoro-abuja-6PBYS</t>
  </si>
  <si>
    <t>11 Bedroom Mansion And 1 Bedroom Guest Chalet With Bq</t>
  </si>
  <si>
    <t>Close To Ecowas, Asokoro Abuja</t>
  </si>
  <si>
    <t>Mansion</t>
  </si>
  <si>
    <t>1NYZM</t>
  </si>
  <si>
    <t>https://www.propertypro.ng/property/10-bedroom-house-for-sale-close-to-ecowas-asokoro-abuja-1NYZM</t>
  </si>
  <si>
    <t>Newly Built 8 Bedroom Fully Detached Duplex</t>
  </si>
  <si>
    <t>Asokoro Extension Asokoro Abuja</t>
  </si>
  <si>
    <t>5NGDD</t>
  </si>
  <si>
    <t>https://www.propertypro.ng/property/8-bedroom-house-for-sale-asokoro-extension-asokoro-abuja-5NGDD</t>
  </si>
  <si>
    <t>Newly Built 7 Bedroom Fully Detached Duplex</t>
  </si>
  <si>
    <t>Asokoro Abuja</t>
  </si>
  <si>
    <t>7MXGS</t>
  </si>
  <si>
    <t>https://www.propertypro.ng/property/7-bedroom-house-for-sale-asokoro-abuja-7MXGS</t>
  </si>
  <si>
    <t>8 Bedroom Detached Duplex</t>
  </si>
  <si>
    <t>9PJAZ</t>
  </si>
  <si>
    <t>https://www.propertypro.ng/property/8-bedroom-house-for-sale-asokoro-abuja-9PJAZ</t>
  </si>
  <si>
    <t>9NGDE</t>
  </si>
  <si>
    <t>https://www.propertypro.ng/property/10-bedroom-house-for-sale-asokoro-extension-asokoro-abuja-9NGDE</t>
  </si>
  <si>
    <t>7 Bedroom Fully Detached Duplex</t>
  </si>
  <si>
    <t>Asokoro Main, Asokoro Abuja</t>
  </si>
  <si>
    <t>6NGNV</t>
  </si>
  <si>
    <t>https://www.propertypro.ng/property/7-bedroom-house-for-sale-asokoro-main-asokoro-abuja-6NGNV</t>
  </si>
  <si>
    <t>Semi Finished 4 Bedroom Duplex With A Bq</t>
  </si>
  <si>
    <t>Admiralty Estate Asokoro Abuja</t>
  </si>
  <si>
    <t>Semi-Detached Duplex</t>
  </si>
  <si>
    <t>5NKCY</t>
  </si>
  <si>
    <t>https://www.propertypro.ng/property/4-bedroom-house-for-sale-admiralty-estate-asokoro-abuja-5NKCY</t>
  </si>
  <si>
    <t>Newly Built 4 Bedroom Duplex</t>
  </si>
  <si>
    <t>Asokoro Main Asokoro Abuja</t>
  </si>
  <si>
    <t>1NTZV</t>
  </si>
  <si>
    <t>https://www.propertypro.ng/property/4-bedroom-house-for-sale-asokoro-main-asokoro-abuja-1NTZV</t>
  </si>
  <si>
    <t>4 Bedroom Terrace Duplex With Bq</t>
  </si>
  <si>
    <t>3PBJA</t>
  </si>
  <si>
    <t>https://www.propertypro.ng/property/4-bedroom-flat-apartment-for-sale-asokoro-abuja-3PBJA</t>
  </si>
  <si>
    <t>5 Bedroom Duplex</t>
  </si>
  <si>
    <t>6NRSR</t>
  </si>
  <si>
    <t>https://www.propertypro.ng/property/5-bedroom-house-for-sale-asokoro-abuja-6NRSR</t>
  </si>
  <si>
    <t>Luxurious 5 Bedroom Semi Detached Duplex Bq</t>
  </si>
  <si>
    <t>Wuse-2</t>
  </si>
  <si>
    <t>Wuse</t>
  </si>
  <si>
    <t>Close To Rock View Hotel, Wuse 2 Abuja</t>
  </si>
  <si>
    <t>9NTEV</t>
  </si>
  <si>
    <t>https://www.propertypro.ng/property/5-bedroom-house-for-sale-close-to-rock-view-hotel-wuse-2-abuja-9NTEV</t>
  </si>
  <si>
    <t>8 Bedroom Automated Detached With Bq</t>
  </si>
  <si>
    <t>Wuse 2 Abuja</t>
  </si>
  <si>
    <t>House</t>
  </si>
  <si>
    <t>0NSEL</t>
  </si>
  <si>
    <t>https://www.propertypro.ng/property/8-bedroom-house-for-sale-wuse-2-abuja-0NSEL</t>
  </si>
  <si>
    <t>6 Bedroom Fully Detached Duplex</t>
  </si>
  <si>
    <t>8NHWM</t>
  </si>
  <si>
    <t>https://www.propertypro.ng/property/6-bedroom-house-for-sale-wuse-2-abuja-8NHWM</t>
  </si>
  <si>
    <t>7NHWM</t>
  </si>
  <si>
    <t>https://www.propertypro.ng/property/6-bedroom-house-for-sale-wuse-2-abuja-7NHWM</t>
  </si>
  <si>
    <t>4 Bedroom Duplex</t>
  </si>
  <si>
    <t>Off Amino Kano Crescent Wuse 2 Abuja</t>
  </si>
  <si>
    <t>7MWHA</t>
  </si>
  <si>
    <t>https://www.propertypro.ng/property/4-bedroom-house-for-sale-off-amino-kano-crescent-wuse-2-abuja-7MWHA</t>
  </si>
  <si>
    <t>5 Bedroom Terrace Duplex With Bq</t>
  </si>
  <si>
    <t>Off Ademola Adetokumbo Wuse 2 Abuja</t>
  </si>
  <si>
    <t>5NBUZ</t>
  </si>
  <si>
    <t>https://www.propertypro.ng/property/5-bedroom-house-for-sale-off-ademola-adetokumbo-wuse-2-abuja-5NBUZ</t>
  </si>
  <si>
    <t>5 Bedroom Detached Duplex With Bq</t>
  </si>
  <si>
    <t>4PEHD</t>
  </si>
  <si>
    <t>https://www.propertypro.ng/property/5-bedroom-house-for-sale-wuse-2-abuja-4PEHD</t>
  </si>
  <si>
    <t>2 Bedroom Luxury Apartment</t>
  </si>
  <si>
    <t>9PCWQ</t>
  </si>
  <si>
    <t>https://www.propertypro.ng/property/2-bedroom-flat-apartment-for-sale-wuse-2-abuja-9PCWQ</t>
  </si>
  <si>
    <t>7 Bedroom Terrace Duplex</t>
  </si>
  <si>
    <t>1PFDC</t>
  </si>
  <si>
    <t>https://www.propertypro.ng/property/7-bedroom-house-for-sale-wuse-2-abuja-1PFDC</t>
  </si>
  <si>
    <t>4 Bedroom Semi Detached Duplex With Bq</t>
  </si>
  <si>
    <t>5NZMT</t>
  </si>
  <si>
    <t>https://www.propertypro.ng/property/4-bedroom-house-for-sale-wuse-2-abuja-5NZMT</t>
  </si>
  <si>
    <t>6 Units Of 3 Bedroom With 2 Units Of 1 Bedroom Flat</t>
  </si>
  <si>
    <t>9PHPB</t>
  </si>
  <si>
    <t>https://www.propertypro.ng/property/3-bedroom-house-for-sale-wuse-2-abuja-9PHPB</t>
  </si>
  <si>
    <t>6 Units Of 3 Bedroom Flat</t>
  </si>
  <si>
    <t>6PAYN</t>
  </si>
  <si>
    <t>https://www.propertypro.ng/property/3-bedroom-flat-apartment-for-sale-wuse-2-abuja-6PAYN</t>
  </si>
  <si>
    <t>7PBDJ</t>
  </si>
  <si>
    <t>https://www.propertypro.ng/property/4-bedroom-house-for-sale-wuse-2-abuja-7PBDJ</t>
  </si>
  <si>
    <t>7 Bedroom Detached Duplex With 2 Bq</t>
  </si>
  <si>
    <t>2PGGN</t>
  </si>
  <si>
    <t>https://www.propertypro.ng/property/7-bedroom-house-for-sale-wuse-2-abuja-2PGGN</t>
  </si>
  <si>
    <t>3 Bedroom Block Of Flat</t>
  </si>
  <si>
    <t>9PGGP</t>
  </si>
  <si>
    <t>https://www.propertypro.ng/property/3-bedroom-house-for-sale-wuse-2-abuja-9PGGP</t>
  </si>
  <si>
    <t>Newly Built 4 Bedroom Terrace Duplex With Bq</t>
  </si>
  <si>
    <t>Gwarinpa</t>
  </si>
  <si>
    <t>Gwarinpa Abuja</t>
  </si>
  <si>
    <t>0PDPE</t>
  </si>
  <si>
    <t>https://www.propertypro.ng/property/4-bedroom-house-for-sale-gwarinpa-abuja-0PDPE</t>
  </si>
  <si>
    <t>2 Bedroom Flat</t>
  </si>
  <si>
    <t>2PBRE</t>
  </si>
  <si>
    <t>https://www.propertypro.ng/property/2-bedroom-house-for-sale-gwarinpa-abuja-2PBRE</t>
  </si>
  <si>
    <t>Distress Sale Of 8 Units Of 2 Bedroom Apartment</t>
  </si>
  <si>
    <t>5NXMH</t>
  </si>
  <si>
    <t>https://www.propertypro.ng/property/2-bedroom-house-for-sale-gwarinpa-abuja-5NXMH</t>
  </si>
  <si>
    <t>4 Bedroom Detached Duplex</t>
  </si>
  <si>
    <t>Gwarimpa In A Serene And Secured Estate Gwarinpa Abuja</t>
  </si>
  <si>
    <t>2PFFK</t>
  </si>
  <si>
    <t>https://www.propertypro.ng/property/4-bedroom-house-for-sale-gwarimpa-in-a-serene-and-secured-estate-gwarinpa-abuja-2PFFK</t>
  </si>
  <si>
    <t>4 Bedroom Terrace With Bq</t>
  </si>
  <si>
    <t>Gwarimpa Gwarinpa Abuja</t>
  </si>
  <si>
    <t>9PDQX</t>
  </si>
  <si>
    <t>https://www.propertypro.ng/property/4-bedroom-house-for-sale-gwarimpa-gwarinpa-abuja-9PDQX</t>
  </si>
  <si>
    <t>Newly Built 3 Bedroom Duplex</t>
  </si>
  <si>
    <t>News Engineering Dawaki Gwarinpa Abuja</t>
  </si>
  <si>
    <t>1PGNH</t>
  </si>
  <si>
    <t>https://www.propertypro.ng/property/3-bedroom-house-for-sale-news-engineering-dawaki-gwarinpa-abuja-1PGNH</t>
  </si>
  <si>
    <t>Newly Built 5 Bedroom Terrace Duplex With Bq</t>
  </si>
  <si>
    <t>Trans Engineering Dawaki Gwarinpa Abuja</t>
  </si>
  <si>
    <t>8PFBF</t>
  </si>
  <si>
    <t>https://www.propertypro.ng/property/5-bedroom-house-for-sale-trans-engineering-dawaki-gwarinpa-abuja-8PFBF</t>
  </si>
  <si>
    <t>Fully Furnished 6 Bedrooms With Bq</t>
  </si>
  <si>
    <t>Dantata Estate Gwarinpa Abuja</t>
  </si>
  <si>
    <t>0PJLL</t>
  </si>
  <si>
    <t>https://www.propertypro.ng/property/6-bedroom-house-for-sale-dantata-estate-gwarinpa-abuja-0PJLL</t>
  </si>
  <si>
    <t>Main Gwarinpa Abuja</t>
  </si>
  <si>
    <t>2PFCA</t>
  </si>
  <si>
    <t>https://www.propertypro.ng/property/4-bedroom-house-for-sale-main-gwarinpa-abuja-2PFCA</t>
  </si>
  <si>
    <t>7bedroom Detached Duplex, Bq &amp; Swimming Pool</t>
  </si>
  <si>
    <t>4PKJA</t>
  </si>
  <si>
    <t>https://www.propertypro.ng/property/7-bedroom-house-for-sale-main-gwarinpa-abuja-4PKJA</t>
  </si>
  <si>
    <t>8PBEN</t>
  </si>
  <si>
    <t>https://www.propertypro.ng/property/5-bedroom-house-for-sale-main-gwarinpa-abuja-8PBEN</t>
  </si>
  <si>
    <t>Luxurious 5 Bedroom Terraced Duplex With Bq</t>
  </si>
  <si>
    <t>9NZZR</t>
  </si>
  <si>
    <t>https://www.propertypro.ng/property/5-bedroom-house-for-sale-main-gwarinpa-abuja-9NZZR</t>
  </si>
  <si>
    <t>9 Units Of 2 Bedroom Flat</t>
  </si>
  <si>
    <t>6th Avenue Gwarinpa Abuja</t>
  </si>
  <si>
    <t>4PAQH</t>
  </si>
  <si>
    <t>https://www.propertypro.ng/property/2-bedroom-flat-apartment-for-sale-6th-avenue-gwarinpa-abuja-4PAQH</t>
  </si>
  <si>
    <t>Distress 3 Bedrooms Flat Ensuite</t>
  </si>
  <si>
    <t>Dawaki Opposite Gwarinpa Gwarinpa Abuja</t>
  </si>
  <si>
    <t>4PMFZ</t>
  </si>
  <si>
    <t>https://www.propertypro.ng/property/3-bedroom-house-for-sale-dawaki-opposite-gwarinpa-gwarinpa-abuja-4PMFZ</t>
  </si>
  <si>
    <t>Newly Built 4 Bedroom Terraced Duplex With Bq</t>
  </si>
  <si>
    <t>Gwarimpa 6avenue Gwarinpa Abuja</t>
  </si>
  <si>
    <t>7NSPU</t>
  </si>
  <si>
    <t>https://www.propertypro.ng/property/4-bedroom-house-for-sale-gwarimpa-6avenue-gwarinpa-abuja-7NSPU</t>
  </si>
  <si>
    <t>7 Bedroom Detached Duplex With Penthouse</t>
  </si>
  <si>
    <t>In An Estate At Gwarinpa Extension Gwarinpa Abuja</t>
  </si>
  <si>
    <t>1NLUX</t>
  </si>
  <si>
    <t>https://www.propertypro.ng/property/7-bedroom-house-for-sale-in-an-estate-at-gwarinpa-extension-gwarinpa-abuja-1NLUX</t>
  </si>
  <si>
    <t>Newly Built 3 Bedroom Bungalow</t>
  </si>
  <si>
    <t>Efab Verizon Estate Gwarinpa Abuja</t>
  </si>
  <si>
    <t>Bungalow</t>
  </si>
  <si>
    <t>9NPXY</t>
  </si>
  <si>
    <t>https://www.propertypro.ng/property/3-bedroom-house-for-sale-efab-verizon-estate-gwarinpa-abuja-9NPXY</t>
  </si>
  <si>
    <t>3 Bedroom Semi Detached Duplex With Bq</t>
  </si>
  <si>
    <t>3NDSC</t>
  </si>
  <si>
    <t>https://www.propertypro.ng/property/3-bedroom-house-for-sale-news-engineering-dawaki-gwarinpa-abuja-3NDSC</t>
  </si>
  <si>
    <t>3 Bedroom Apartment</t>
  </si>
  <si>
    <t>Lugbe</t>
  </si>
  <si>
    <t>Airport Road, Lugbe Abuja</t>
  </si>
  <si>
    <t>2PFKA</t>
  </si>
  <si>
    <t>https://www.propertypro.ng/property/3-bedroom-house-for-sale-airport-road-lugbe-abuja-2PFKA</t>
  </si>
  <si>
    <t>4 Bedroom Bungalow</t>
  </si>
  <si>
    <t>Fort Royal Estate Lugbe Abuja</t>
  </si>
  <si>
    <t>4PJBD</t>
  </si>
  <si>
    <t>https://www.propertypro.ng/property/4-bedroom-house-for-sale-fort-royal-estate-lugbe-abuja-4PJBD</t>
  </si>
  <si>
    <t>2 Bedroom Apartment</t>
  </si>
  <si>
    <t>Airport Road Before Centenary City, Lugbe Abuja</t>
  </si>
  <si>
    <t>6PFKE</t>
  </si>
  <si>
    <t>https://www.propertypro.ng/property/2-bedroom-house-for-sale-airport-road-before-centenary-city-lugbe-abuja-6PFKE</t>
  </si>
  <si>
    <t>1 Bedroom Apartment</t>
  </si>
  <si>
    <t>0PFKF</t>
  </si>
  <si>
    <t>https://www.propertypro.ng/property/1-bedroom-house-for-sale-airport-road-before-centenary-city-lugbe-abuja-0PFKF</t>
  </si>
  <si>
    <t>4 Bedroom Fully Detached Duplex || Distress Sale</t>
  </si>
  <si>
    <t>Back Of Glory Dome Lugbe Abuja</t>
  </si>
  <si>
    <t>2PLKK</t>
  </si>
  <si>
    <t>https://www.propertypro.ng/property/4-bedroom-house-for-sale-back-of-glory-dome-lugbe-abuja-2PLKK</t>
  </si>
  <si>
    <t>Newly Built &amp; Distress 4 Bedroom Duplex</t>
  </si>
  <si>
    <t>Opposite River Park Estate, By Nut Hq Airport Road Abuja Sabon Lugbe Lugbe Abuja</t>
  </si>
  <si>
    <t>7PMHP</t>
  </si>
  <si>
    <t>https://www.propertypro.ng/property/4-bedroom-house-for-sale-opposite-river-park-estate-by-nut-hq-airport-road-abuja-sabon-lugbe-lugbe-abuja-7PMHP</t>
  </si>
  <si>
    <t>Newly Built 3 Bedroom With A Bq</t>
  </si>
  <si>
    <t>Cluster 3 River Park Estate Lugbe Abuja</t>
  </si>
  <si>
    <t>0PMHB</t>
  </si>
  <si>
    <t>https://www.propertypro.ng/property/3-bedroom-house-for-sale-cluster-3-river-park-estate-lugbe-abuja-0PMHB</t>
  </si>
  <si>
    <t>Newly Built 2 Bedroom Flat</t>
  </si>
  <si>
    <t>River Park Estate Lugbe Abuja</t>
  </si>
  <si>
    <t>7NTSD</t>
  </si>
  <si>
    <t>https://www.propertypro.ng/property/2-bedroom-flat-apartment-for-sale-river-park-estate-lugbe-abuja-7NTSD</t>
  </si>
  <si>
    <t>Newly Built 5 Bedroom With A Gate House</t>
  </si>
  <si>
    <t>Sally Best Estate Lugbe Abuja</t>
  </si>
  <si>
    <t>8NFHB</t>
  </si>
  <si>
    <t>https://www.propertypro.ng/property/5-bedroom-house-for-sale-sally-best-estate-lugbe-abuja-8NFHB</t>
  </si>
  <si>
    <t>Newly Built Luxury 7 Bedroom Semi Detached Duplex</t>
  </si>
  <si>
    <t>Jabi</t>
  </si>
  <si>
    <t>Jabi Abuja</t>
  </si>
  <si>
    <t>6PLWL</t>
  </si>
  <si>
    <t>https://www.propertypro.ng/property/7-bedroom-house-for-sale-jabi-abuja-6PLWL</t>
  </si>
  <si>
    <t>Standard 3 Bedroom With A Bq</t>
  </si>
  <si>
    <t>0PLDP</t>
  </si>
  <si>
    <t>https://www.propertypro.ng/property/3-bedroom-flat-apartment-for-sale-jabi-abuja-0PLDP</t>
  </si>
  <si>
    <t>Standard 3 Bedroom Flat</t>
  </si>
  <si>
    <t>Lakeview Homes, Close To Shoprite Jabi Abuja</t>
  </si>
  <si>
    <t>6PJMC</t>
  </si>
  <si>
    <t>https://www.propertypro.ng/property/3-bedroom-flat-apartment-for-sale-lakeview-homes-close-to-shoprite-jabi-abuja-6PJMC</t>
  </si>
  <si>
    <t>A Newly Built 4 Bedroom With A Bq</t>
  </si>
  <si>
    <t>3PJRC</t>
  </si>
  <si>
    <t>https://www.propertypro.ng/property/4-bedroom-house-for-sale-jabi-abuja-3PJRC</t>
  </si>
  <si>
    <t>Pre Finished 3 Bedroom Flat</t>
  </si>
  <si>
    <t>Main Jabi Abuja</t>
  </si>
  <si>
    <t>0NRPE</t>
  </si>
  <si>
    <t>https://www.propertypro.ng/property/3-bedroom-house-for-sale-main-jabi-abuja-0NRPE</t>
  </si>
  <si>
    <t>4 Bedroom Terraced Duplex With A Bq</t>
  </si>
  <si>
    <t>By Jabi Airport Road Jabi Abuja</t>
  </si>
  <si>
    <t>3NBEG</t>
  </si>
  <si>
    <t>https://www.propertypro.ng/property/4-bedroom-house-for-sale-by-jabi-airport-road-jabi-abuja-3NBEG</t>
  </si>
  <si>
    <t>Newly Built 2 Bedroom</t>
  </si>
  <si>
    <t>Kubwa</t>
  </si>
  <si>
    <t>In A Very Beautiful Environment Of F01 Kubwa Abuja</t>
  </si>
  <si>
    <t>7PJWN</t>
  </si>
  <si>
    <t>https://www.propertypro.ng/property/2-bedroom-flat-apartment-for-sale-in-a-very-beautiful-environment-of-f01-kubwa-abuja-7PJWN</t>
  </si>
  <si>
    <t>2NYDT</t>
  </si>
  <si>
    <t>https://www.propertypro.ng/property/4-bedroom-house-for-sale-jabi-abuja-2NYDT</t>
  </si>
  <si>
    <t>Newly Built 4 Bedroom</t>
  </si>
  <si>
    <t>By Jabi Lake Jabi Abuja</t>
  </si>
  <si>
    <t>2NJHF</t>
  </si>
  <si>
    <t>https://www.propertypro.ng/property/4-bedroom-house-for-sale-by-jabi-lake-jabi-abuja-2NJHF</t>
  </si>
  <si>
    <t>2NSXC</t>
  </si>
  <si>
    <t>https://www.propertypro.ng/property/4-bedroom-house-for-sale-main-jabi-abuja-2NSXC</t>
  </si>
  <si>
    <t>Newly Built 4 Bedroom Flat</t>
  </si>
  <si>
    <t>By The Apostolic Church Jabi Abuja</t>
  </si>
  <si>
    <t>2NNYW</t>
  </si>
  <si>
    <t>https://www.propertypro.ng/property/4-bedroom-house-for-sale-by-the-apostolic-church-jabi-abuja-2NNYW</t>
  </si>
  <si>
    <t>5 Bedroom Terrace Duplex</t>
  </si>
  <si>
    <t>Jabi District Jabi Abuja</t>
  </si>
  <si>
    <t>7NLCD</t>
  </si>
  <si>
    <t>https://www.propertypro.ng/property/5-bedroom-house-for-sale-jabi-district-jabi-abuja-7NLCD</t>
  </si>
  <si>
    <t>Newly Built Spacious 3 Bedroom Flat + 1bq</t>
  </si>
  <si>
    <t>Jabi Abuja. Jabi Abuja</t>
  </si>
  <si>
    <t>6PHUA</t>
  </si>
  <si>
    <t>https://www.propertypro.ng/property/3-bedroom-flat-apartment-for-sale-jabi-abuja-jabi-abuja-6PHUA</t>
  </si>
  <si>
    <t>Luxurious 6 Bedroom Detached Duplex With Bq</t>
  </si>
  <si>
    <t>Katampe</t>
  </si>
  <si>
    <t>Katampe Ext Diplomatic Zone, Katampe Extension Katampe Abuja</t>
  </si>
  <si>
    <t>9PCQG</t>
  </si>
  <si>
    <t>https://www.propertypro.ng/property/6-bedroom-house-for-sale-katampe-ext-diplomatic-zone-katampe-extension-katampe-abuja-9PCQG</t>
  </si>
  <si>
    <t>A Newly Built 5bedroom Fully Detached Duplex</t>
  </si>
  <si>
    <t>Katampe Extension Katampe Abuja</t>
  </si>
  <si>
    <t>7PMCR</t>
  </si>
  <si>
    <t>https://www.propertypro.ng/property/5-bedroom-house-for-sale-katampe-extension-katampe-abuja-7PMCR</t>
  </si>
  <si>
    <t>Luxurious 7 Bedroom Detached Villa With Bq</t>
  </si>
  <si>
    <t>Katampe Extention Diplomatic Zone, Katampe Extension Katampe Abuja</t>
  </si>
  <si>
    <t>7PBRF</t>
  </si>
  <si>
    <t>https://www.propertypro.ng/property/7-bedroom-house-for-sale-katampe-extention-diplomatic-zone-katampe-extension-katampe-abuja-7PBRF</t>
  </si>
  <si>
    <t>Katampe Extention Diplomatic Zone,area For People That Matters Katampe Extension Katampe Abuja</t>
  </si>
  <si>
    <t>1PDGM</t>
  </si>
  <si>
    <t>https://www.propertypro.ng/property/4-bedroom-house-for-sale-katampe-extention-diplomatic-zonearea-for-people-that-matters-katampe-extension-katampe-abuja-1PDGM</t>
  </si>
  <si>
    <t>Fully Furnished 3 Bedroom</t>
  </si>
  <si>
    <t>3PHKF</t>
  </si>
  <si>
    <t>https://www.propertypro.ng/property/3-bedroom-flat-apartment-for-sale-katampe-extension-katampe-abuja-3PHKF</t>
  </si>
  <si>
    <t>6 Bedroom Semi Detached Duplex</t>
  </si>
  <si>
    <t>Katampe Abuja</t>
  </si>
  <si>
    <t>6MXFF</t>
  </si>
  <si>
    <t>https://www.propertypro.ng/property/6-bedroom-house-for-sale-katampe-abuja-6MXFF</t>
  </si>
  <si>
    <t>Ideal Homes Katampe Extension, Katampe Abuja</t>
  </si>
  <si>
    <t>7PEDG</t>
  </si>
  <si>
    <t>https://www.propertypro.ng/property/4-bedroom-house-for-sale-ideal-homes-katampe-extension-katampe-abuja-7PEDG</t>
  </si>
  <si>
    <t>Newly Built 4 Bedroom Duplex In Katampe Extension</t>
  </si>
  <si>
    <t>Pearls Court Katampe Extension Katampe Extension Katampe Abuja</t>
  </si>
  <si>
    <t>8PKCR</t>
  </si>
  <si>
    <t>https://www.propertypro.ng/property/4-bedroom-house-for-sale-pearls-court-katampe-extension-katampe-extension-katampe-abuja-8PKCR</t>
  </si>
  <si>
    <t>New 6 Bedrooms Duplex (carcass)</t>
  </si>
  <si>
    <t>3PMGD</t>
  </si>
  <si>
    <t>https://www.propertypro.ng/property/6-bedroom-house-for-sale-katampe-extension-katampe-abuja-3PMGD</t>
  </si>
  <si>
    <t>Carcass 5 Bedrooms Duplex</t>
  </si>
  <si>
    <t>9PMDY</t>
  </si>
  <si>
    <t>https://www.propertypro.ng/property/5-bedroom-house-for-sale-katampe-extension-katampe-abuja-9PMDY</t>
  </si>
  <si>
    <t>0NHPV</t>
  </si>
  <si>
    <t>https://www.propertypro.ng/property/4-bedroom-house-for-sale-katampe-abuja-0NHPV</t>
  </si>
  <si>
    <t>Newly Built 3 Bedroom Flat</t>
  </si>
  <si>
    <t>7PJUA</t>
  </si>
  <si>
    <t>https://www.propertypro.ng/property/3-bedroom-flat-apartment-for-sale-katampe-extension-katampe-abuja-7PJUA</t>
  </si>
  <si>
    <t>A Newly Built 4bedroom Terraced Duplex With A Bq</t>
  </si>
  <si>
    <t>Life-Camp</t>
  </si>
  <si>
    <t>Life Camp Abuja</t>
  </si>
  <si>
    <t>0PLWY</t>
  </si>
  <si>
    <t>https://www.propertypro.ng/property/4-bedroom-house-for-sale-life-camp-abuja-0PLWY</t>
  </si>
  <si>
    <t>Newly Built Cornerpeice 4bedroom Terrace With Bq</t>
  </si>
  <si>
    <t>Life Camp Life Camp Abuja</t>
  </si>
  <si>
    <t>7PLDC</t>
  </si>
  <si>
    <t>https://www.propertypro.ng/property/4-bedroom-house-for-sale-life-camp-life-camp-abuja-7PLDC</t>
  </si>
  <si>
    <t>Newly Built 3 Bedroom Semi Detached With Bq</t>
  </si>
  <si>
    <t>Life Camp Extention Life Camp Abuja</t>
  </si>
  <si>
    <t>6PDHB</t>
  </si>
  <si>
    <t>https://www.propertypro.ng/property/3-bedroom-house-for-sale-life-camp-extention-life-camp-abuja-6PDHB</t>
  </si>
  <si>
    <t>Exquisite Beautiful 4 Bedroom Terraced Duplex With Bq</t>
  </si>
  <si>
    <t>9PBRS</t>
  </si>
  <si>
    <t>https://www.propertypro.ng/property/4-bedroom-house-for-sale-life-camp-abuja-9PBRS</t>
  </si>
  <si>
    <t>Newly Built 5 Bedroom Detached Duplex With Bq</t>
  </si>
  <si>
    <t>9PJPG</t>
  </si>
  <si>
    <t>https://www.propertypro.ng/property/5-bedroom-house-for-sale-life-camp-abuja-9PJPG</t>
  </si>
  <si>
    <t>Gated And Beautiful Spacious 4bedroom Terrace With Bq</t>
  </si>
  <si>
    <t>1PLAM</t>
  </si>
  <si>
    <t>https://www.propertypro.ng/property/4-bedroom-house-for-sale-life-camp-life-camp-abuja-1PLAM</t>
  </si>
  <si>
    <t>Beautiful 4 Bedroom Bungalow With Bq</t>
  </si>
  <si>
    <t>6NVZQ</t>
  </si>
  <si>
    <t>https://www.propertypro.ng/property/4-bedroom-house-for-sale-life-camp-abuja-6NVZQ</t>
  </si>
  <si>
    <t>Spacious 4 Bedroom Terraced Duplex With Bq</t>
  </si>
  <si>
    <t>5PBMN</t>
  </si>
  <si>
    <t>https://www.propertypro.ng/property/4-bedroom-house-for-sale-life-camp-abuja-5PBMN</t>
  </si>
  <si>
    <t>4 Bedroom Detached Duplex With Bq</t>
  </si>
  <si>
    <t>6NVER</t>
  </si>
  <si>
    <t>https://www.propertypro.ng/property/4-bedroom-house-for-sale-life-camp-abuja-6NVER</t>
  </si>
  <si>
    <t>Newly Built 4 Bedroom Detached Bungalow With Bq</t>
  </si>
  <si>
    <t>1NWTK</t>
  </si>
  <si>
    <t>https://www.propertypro.ng/property/4-bedroom-house-for-sale-life-camp-abuja-1NWTK</t>
  </si>
  <si>
    <t>Beautiful And Clean 2bedroom Apartment</t>
  </si>
  <si>
    <t>Life Camp Suitable For Nbnb Life Camp Abuja</t>
  </si>
  <si>
    <t>0PLAL</t>
  </si>
  <si>
    <t>https://www.propertypro.ng/property/2-bedroom-house-for-sale-life-camp-suitable-for-nbnb-life-camp-abuja-0PLAL</t>
  </si>
  <si>
    <t>Newly Built 4 Bedroom With A Bq</t>
  </si>
  <si>
    <t>By Godab Estate Life Camp Abuja</t>
  </si>
  <si>
    <t>2PLDA</t>
  </si>
  <si>
    <t>https://www.propertypro.ng/property/4-bedroom-house-for-sale-by-godab-estate-life-camp-abuja-2PLDA</t>
  </si>
  <si>
    <t>Newly Built 4 Bedroom Terrace Duplex</t>
  </si>
  <si>
    <t>1PHKS</t>
  </si>
  <si>
    <t>https://www.propertypro.ng/property/4-bedroom-house-for-sale-life-camp-abuja-1PHKS</t>
  </si>
  <si>
    <t>Spacious 2 Bedroom Flat</t>
  </si>
  <si>
    <t>Paradise Estate Phase 2 Life Camp Abuja</t>
  </si>
  <si>
    <t>5PJWP</t>
  </si>
  <si>
    <t>https://www.propertypro.ng/property/2-bedroom-flat-apartment-for-sale-paradise-estate-phase-2-life-camp-abuja-5PJWP</t>
  </si>
  <si>
    <t>Newly Built 3 Bedroom Flat With Bq</t>
  </si>
  <si>
    <t>8PCHA</t>
  </si>
  <si>
    <t>https://www.propertypro.ng/property/3-bedroom-flat-apartment-for-sale-life-camp-abuja-8PCHA</t>
  </si>
  <si>
    <t>Newly Built 2 Bedroom Apartment</t>
  </si>
  <si>
    <t>Close To Berger Yard Life Camp Abuja</t>
  </si>
  <si>
    <t>9PJQK</t>
  </si>
  <si>
    <t>https://www.propertypro.ng/property/2-bedroom-flat-apartment-for-sale-close-to-berger-yard-life-camp-abuja-9PJQK</t>
  </si>
  <si>
    <t>4 Bedroom Terrace Duplex</t>
  </si>
  <si>
    <t>Close To Stella Marris School Life Camp Abuja</t>
  </si>
  <si>
    <t>1NYVE</t>
  </si>
  <si>
    <t>https://www.propertypro.ng/property/4-bedroom-house-for-sale-close-to-stella-marris-school-life-camp-abuja-1NYVE</t>
  </si>
  <si>
    <t>4 Bedroom Terraced Duplex With Bq</t>
  </si>
  <si>
    <t>Berger Clinic Axis, Life Camp Abuja</t>
  </si>
  <si>
    <t>8PEZE</t>
  </si>
  <si>
    <t>https://www.propertypro.ng/property/4-bedroom-house-for-sale-berger-clinic-axis-life-camp-abuja-8PEZE</t>
  </si>
  <si>
    <t>Newly Built 4bedroom Terrace With Bq</t>
  </si>
  <si>
    <t>Apo</t>
  </si>
  <si>
    <t>Apo Legislative (national Assembly Quarters) Apo Abuja</t>
  </si>
  <si>
    <t>0PLDF</t>
  </si>
  <si>
    <t>https://www.propertypro.ng/property/4-bedroom-house-for-sale-apo-legislative-national-assembly-quarters-apo-abuja-0PLDF</t>
  </si>
  <si>
    <t>Newly Built 1 Bedroom Flat</t>
  </si>
  <si>
    <t>By Ceder Crest Hospital Apo Abuja</t>
  </si>
  <si>
    <t>9PAPB</t>
  </si>
  <si>
    <t>https://www.propertypro.ng/property/1-bedroom-flat-apartment-for-sale-by-ceder-crest-hospital-apo-abuja-9PAPB</t>
  </si>
  <si>
    <t>5 Bedroom With Swimming Pool</t>
  </si>
  <si>
    <t>Apo Resettlement Apo Abuja</t>
  </si>
  <si>
    <t>1PLJX</t>
  </si>
  <si>
    <t>https://www.propertypro.ng/property/5-bedroom-house-for-sale-apo-resettlement-apo-abuja-1PLJX</t>
  </si>
  <si>
    <t>Gudu Apo Abuja</t>
  </si>
  <si>
    <t>2NRPA</t>
  </si>
  <si>
    <t>https://www.propertypro.ng/property/4-bedroom-house-for-sale-gudu-apo-abuja-2NRPA</t>
  </si>
  <si>
    <t>4 Bedroom Detached Bungalow With Bq</t>
  </si>
  <si>
    <t>By Cedar Crest Hospital Apo Abuja</t>
  </si>
  <si>
    <t>2NYRM</t>
  </si>
  <si>
    <t>https://www.propertypro.ng/property/4-bedroom-house-for-sale-by-cedar-crest-hospital-apo-abuja-2NYRM</t>
  </si>
  <si>
    <t>3 Bedroom Detached Bungalow With Bq</t>
  </si>
  <si>
    <t>Wumba Apo Abuja</t>
  </si>
  <si>
    <t>7PJAT</t>
  </si>
  <si>
    <t>https://www.propertypro.ng/property/3-bedroom-house-for-sale-wumba-apo-abuja-7PJAT</t>
  </si>
  <si>
    <t>Apo Abuja</t>
  </si>
  <si>
    <t>1PJAS</t>
  </si>
  <si>
    <t>https://www.propertypro.ng/property/4-bedroom-house-for-sale-apo-abuja-1PJAS</t>
  </si>
  <si>
    <t>2PJGX</t>
  </si>
  <si>
    <t>https://www.propertypro.ng/property/4-bedroom-house-for-sale-apo-abuja-2PJGX</t>
  </si>
  <si>
    <t>Newly Built 5 Bedroom</t>
  </si>
  <si>
    <t>Larinx Home Close To Chris Land School Apo Abuja</t>
  </si>
  <si>
    <t>1PLUX</t>
  </si>
  <si>
    <t>https://www.propertypro.ng/property/5-bedroom-house-for-sale-larinx-home-close-to-chris-land-school-apo-abuja-1PLUX</t>
  </si>
  <si>
    <t>3 Bedroom Fully Detached Bungalow With Boys Quarters</t>
  </si>
  <si>
    <t>Estate By Ceder Crest Hospital, Apo Abuja</t>
  </si>
  <si>
    <t>8NMAD</t>
  </si>
  <si>
    <t>https://www.propertypro.ng/property/3-bedroom-house-for-sale-estate-by-ceder-crest-hospital-apo-abuja-8NMAD</t>
  </si>
  <si>
    <t>Not Far From Gudu Junction Apo Abuja</t>
  </si>
  <si>
    <t>8NPFZ</t>
  </si>
  <si>
    <t>https://www.propertypro.ng/property/3-bedroom-flat-apartment-for-sale-not-far-from-gudu-junction-apo-abuja-8NPFZ</t>
  </si>
  <si>
    <t>3 Bedroom Semi Detached Duplex With A Bq</t>
  </si>
  <si>
    <t>Rockvale Manor Estate Apo Abuja</t>
  </si>
  <si>
    <t>2NNSA</t>
  </si>
  <si>
    <t>https://www.propertypro.ng/property/3-bedroom-house-for-sale-rockvale-manor-estate-apo-abuja-2NNSA</t>
  </si>
  <si>
    <t>5 Bedroom Duplex With A Bq</t>
  </si>
  <si>
    <t>9NCPM</t>
  </si>
  <si>
    <t>https://www.propertypro.ng/property/5-bedroom-house-for-sale-apo-resettlement-apo-abuja-9NCPM</t>
  </si>
  <si>
    <t>In An Estate At Apo/wumba, Apo Abuja</t>
  </si>
  <si>
    <t>3NKJZ</t>
  </si>
  <si>
    <t>https://www.propertypro.ng/property/3-bedroom-flat-apartment-for-sale-in-an-estate-at-apo-wumba-apo-abuja-3NKJZ</t>
  </si>
  <si>
    <t>Newly Built 4 Bedroom Detached Duplex With A Bq</t>
  </si>
  <si>
    <t>Apo Resettlement By The New Express, Apo Abuja</t>
  </si>
  <si>
    <t>7PAAN</t>
  </si>
  <si>
    <t>https://www.propertypro.ng/property/4-bedroom-house-for-sale-apo-resettlement-by-the-new-express-apo-abuja-7PAAN</t>
  </si>
  <si>
    <t>8PFGZ</t>
  </si>
  <si>
    <t>https://www.propertypro.ng/property/4-bedroom-house-for-sale-apo-abuja-8PFGZ</t>
  </si>
  <si>
    <t>A Newly Built 4 Bedroom Detached Duplex With A Bq</t>
  </si>
  <si>
    <t>Karsana</t>
  </si>
  <si>
    <t>Karsana Abuja</t>
  </si>
  <si>
    <t>0PLZZ</t>
  </si>
  <si>
    <t>https://www.propertypro.ng/property/4-bedroom-house-for-sale-karsana-abuja-0PLZZ</t>
  </si>
  <si>
    <t>Newly Built 1 Bedroom Bungalow With Bq</t>
  </si>
  <si>
    <t>Efab Verizon Karsana West Karsana Abuja</t>
  </si>
  <si>
    <t>9PFBP</t>
  </si>
  <si>
    <t>https://www.propertypro.ng/property/3-bedroom-house-for-sale-efab-verizon-karsana-west-karsana-abuja-9PFBP</t>
  </si>
  <si>
    <t>Beautiful And Newly 6bedroom Detached Duplex</t>
  </si>
  <si>
    <t>In An Estate Gwarimpa Extension Karsana Abuja</t>
  </si>
  <si>
    <t>2PLMB</t>
  </si>
  <si>
    <t>https://www.propertypro.ng/property/6-bedroom-house-for-sale-in-an-estate-gwarimpa-extension-karsana-abuja-2PLMB</t>
  </si>
  <si>
    <t>Efab Metropolis Estate Karsana District Karsana Abuja</t>
  </si>
  <si>
    <t>9NWAZ</t>
  </si>
  <si>
    <t>https://www.propertypro.ng/property/5-bedroom-house-for-sale-efab-metropolis-estate-karsana-district-karsana-abuja-9NWAZ</t>
  </si>
  <si>
    <t>Distress New 5 Bedroom Detached Duplex With Bq</t>
  </si>
  <si>
    <t>Karsana Efab Metropolis, Karsana Abuja</t>
  </si>
  <si>
    <t>0PERF</t>
  </si>
  <si>
    <t>https://www.propertypro.ng/property/5-bedroom-house-for-sale-karsana-efab-metropolis-karsana-abuja-0PERF</t>
  </si>
  <si>
    <t>Efab Queens Karsana Abuja</t>
  </si>
  <si>
    <t>1PFFE</t>
  </si>
  <si>
    <t>https://www.propertypro.ng/property/3-bedroom-house-for-sale-efab-queens-karsana-abuja-1PFFE</t>
  </si>
  <si>
    <t>Spacious 5 Bedroom Detached Duplex With Bq</t>
  </si>
  <si>
    <t>0PCMU</t>
  </si>
  <si>
    <t>https://www.propertypro.ng/property/5-bedroom-house-for-sale-karsana-efab-metropolis-karsana-abuja-0PCMU</t>
  </si>
  <si>
    <t>3 Bedroom Bungalow With Bq</t>
  </si>
  <si>
    <t>Efab Verizon,karsana District Karsana Abuja</t>
  </si>
  <si>
    <t>5NSRU</t>
  </si>
  <si>
    <t>https://www.propertypro.ng/property/3-bedroom-house-for-sale-efab-verizonkarsana-district-karsana-abuja-5NSRU</t>
  </si>
  <si>
    <t>Efab Metropolis Estate Karsana Abuja</t>
  </si>
  <si>
    <t>5PCJG</t>
  </si>
  <si>
    <t>https://www.propertypro.ng/property/5-bedroom-house-for-sale-efab-metropolis-estate-karsana-abuja-5PCJG</t>
  </si>
  <si>
    <t>6PFKJ</t>
  </si>
  <si>
    <t>https://www.propertypro.ng/property/4-bedroom-house-for-sale-karsana-abuja-6PFKJ</t>
  </si>
  <si>
    <t>5 Bedroom Fully Detached Duplex With 2 Bq</t>
  </si>
  <si>
    <t>4PFKJ</t>
  </si>
  <si>
    <t>https://www.propertypro.ng/property/5-bedroom-house-for-sale-karsana-abuja-4PFKJ</t>
  </si>
  <si>
    <t>Standard 3 Bedroom Duplex</t>
  </si>
  <si>
    <t>5NPXJ</t>
  </si>
  <si>
    <t>https://www.propertypro.ng/property/3-bedroom-house-for-sale-karsana-abuja-5NPXJ</t>
  </si>
  <si>
    <t>8NNGP</t>
  </si>
  <si>
    <t>https://www.propertypro.ng/property/5-bedroom-house-for-sale-karsana-abuja-8NNGP</t>
  </si>
  <si>
    <t>In An Estate Karsana Abuja</t>
  </si>
  <si>
    <t>7PLRA</t>
  </si>
  <si>
    <t>https://www.propertypro.ng/property/5-bedroom-house-for-sale-in-an-estate-karsana-abuja-7PLRA</t>
  </si>
  <si>
    <t>Opposite Belham Estate Karsana Abuja</t>
  </si>
  <si>
    <t>5NEJG</t>
  </si>
  <si>
    <t>https://www.propertypro.ng/property/2-bedroom-flat-apartment-for-sale-opposite-belham-estate-karsana-abuja-5NEJG</t>
  </si>
  <si>
    <t>Newly Built 7 Bedroom Detached Apartment</t>
  </si>
  <si>
    <t>Gwarimpa Karsana Abuja</t>
  </si>
  <si>
    <t>5NLMG</t>
  </si>
  <si>
    <t>https://www.propertypro.ng/property/7-bedroom-house-for-sale-gwarimpa-karsana-abuja-5NLMG</t>
  </si>
  <si>
    <t>4 Bedroom Semi Detached Duplex</t>
  </si>
  <si>
    <t>5PFYC</t>
  </si>
  <si>
    <t>https://www.propertypro.ng/property/4-bedroom-house-for-sale-karsana-abuja-5PFYC</t>
  </si>
  <si>
    <t>Very Clean 3 Bedroom</t>
  </si>
  <si>
    <t>Lokogoma</t>
  </si>
  <si>
    <t>Lokogoma Abuja</t>
  </si>
  <si>
    <t>4PKZP</t>
  </si>
  <si>
    <t>https://www.propertypro.ng/property/3-bedroom-house-for-sale-lokogoma-abuja-4PKZP</t>
  </si>
  <si>
    <t>Kabusa Garden Estate Lokogoma Abuja</t>
  </si>
  <si>
    <t>2PKBS</t>
  </si>
  <si>
    <t>https://www.propertypro.ng/property/3-bedroom-house-for-sale-kabusa-garden-estate-lokogoma-abuja-2PKBS</t>
  </si>
  <si>
    <t>Newly Built 4 Bedroom Fully Detached Duplex With Bq</t>
  </si>
  <si>
    <t>1PFNC</t>
  </si>
  <si>
    <t>https://www.propertypro.ng/property/4-bedroom-house-for-sale-lokogoma-abuja-1PFNC</t>
  </si>
  <si>
    <t>Sahara 4 Estate Lokogoma Abuja</t>
  </si>
  <si>
    <t>9PHCZ</t>
  </si>
  <si>
    <t>https://www.propertypro.ng/property/3-bedroom-house-for-sale-sahara-4-estate-lokogoma-abuja-9PHCZ</t>
  </si>
  <si>
    <t>Newly Built 4 Bedroom Detached Duplex With Bq</t>
  </si>
  <si>
    <t>Main Lokogoma Abuja</t>
  </si>
  <si>
    <t>9PCYJ</t>
  </si>
  <si>
    <t>https://www.propertypro.ng/property/4-bedroom-house-for-sale-main-lokogoma-abuja-9PCYJ</t>
  </si>
  <si>
    <t>5 Bedroom Detached Duplex With 1 Bq</t>
  </si>
  <si>
    <t>Close To Sunnyvale, Lokogoma Abuja</t>
  </si>
  <si>
    <t>4NYZM</t>
  </si>
  <si>
    <t>https://www.propertypro.ng/property/5-bedroom-house-for-sale-close-to-sunnyvale-lokogoma-abuja-4NYZM</t>
  </si>
  <si>
    <t>Luxurious 4bedroom Detached Duplex With 2bq</t>
  </si>
  <si>
    <t>1PJSH</t>
  </si>
  <si>
    <t>https://www.propertypro.ng/property/4-bedroom-house-for-sale-main-lokogoma-abuja-1PJSH</t>
  </si>
  <si>
    <t>4 Bedroom Detached Bungalow + 2 Bedroom Bungalow Bq</t>
  </si>
  <si>
    <t>Close To Ebeano Suppermarket Lokogoma Abuja</t>
  </si>
  <si>
    <t>8NUEX</t>
  </si>
  <si>
    <t>https://www.propertypro.ng/property/4-bedroom-house-for-sale-close-to-ebeano-suppermarket-lokogoma-abuja-8NUEX</t>
  </si>
  <si>
    <t>0PJAV</t>
  </si>
  <si>
    <t>https://www.propertypro.ng/property/4-bedroom-house-for-sale-lokogoma-abuja-0PJAV</t>
  </si>
  <si>
    <t>Exquisitely Built 4 Bedroom Detached Duplex</t>
  </si>
  <si>
    <t>0PMBT</t>
  </si>
  <si>
    <t>https://www.propertypro.ng/property/4-bedroom-house-for-sale-lokogoma-abuja-0PMBT</t>
  </si>
  <si>
    <t>Along Sunnyvale Estate Road Lokogoma Abuja</t>
  </si>
  <si>
    <t>8NJDB</t>
  </si>
  <si>
    <t>https://www.propertypro.ng/property/3-bedroom-house-for-sale-along-sunnyvale-estate-road-lokogoma-abuja-8NJDB</t>
  </si>
  <si>
    <t>4 Bedroom Semi Detached Flat With Maid Room</t>
  </si>
  <si>
    <t>Nelocap Estate, Lokogoma Abuja</t>
  </si>
  <si>
    <t>6NLUB</t>
  </si>
  <si>
    <t>https://www.propertypro.ng/property/4-bedroom-house-for-sale-nelocap-estate-lokogoma-abuja-6NLUB</t>
  </si>
  <si>
    <t>Standard 4 Bedroom Semi Detached Duplex With Bq</t>
  </si>
  <si>
    <t>Close To Sunnyvale Estate, Lokogoma Abuja</t>
  </si>
  <si>
    <t>2NQQB</t>
  </si>
  <si>
    <t>https://www.propertypro.ng/property/4-bedroom-house-for-sale-close-to-sunnyvale-estate-lokogoma-abuja-2NQQB</t>
  </si>
  <si>
    <t>3 Bedroom Bungalow</t>
  </si>
  <si>
    <t>Very Close To Sunnyvale Estate, Lokogoma Abuja</t>
  </si>
  <si>
    <t>2NTEF</t>
  </si>
  <si>
    <t>https://www.propertypro.ng/property/3-bedroom-house-for-sale-very-close-to-sunnyvale-estate-lokogoma-abuja-2NTEF</t>
  </si>
  <si>
    <t>Newly Built 3 Bedroom</t>
  </si>
  <si>
    <t>Close To Sahara 4 Estate Lokogoma Abuja</t>
  </si>
  <si>
    <t>1PKHP</t>
  </si>
  <si>
    <t>https://www.propertypro.ng/property/3-bedroom-house-for-sale-close-to-sahara-4-estate-lokogoma-abuja-1PKHP</t>
  </si>
  <si>
    <t>0NBZB</t>
  </si>
  <si>
    <t>https://www.propertypro.ng/property/3-bedroom-flat-apartment-for-sale-lokogoma-abuja-0NBZB</t>
  </si>
  <si>
    <t>Grenadine Estate Close To Ipent 3 Lokogoma Abuja</t>
  </si>
  <si>
    <t>3NCFC</t>
  </si>
  <si>
    <t>https://www.propertypro.ng/property/3-bedroom-flat-apartment-for-sale-grenadine-estate-close-to-ipent-3-lokogoma-abuja-3NCFC</t>
  </si>
  <si>
    <t>Newly Built 2 Bedroom Duplex</t>
  </si>
  <si>
    <t>By Urban Shelter Lokogoma Abuja</t>
  </si>
  <si>
    <t>5NZUV</t>
  </si>
  <si>
    <t>https://www.propertypro.ng/property/2-bedroom-house-for-sale-by-urban-shelter-lokogoma-abuja-5NZUV</t>
  </si>
  <si>
    <t>Close To Ipent 3 Lokogoma Abuja</t>
  </si>
  <si>
    <t>0NLME</t>
  </si>
  <si>
    <t>https://www.propertypro.ng/property/4-bedroom-house-for-sale-close-to-ipent-3-lokogoma-abuja-0NLME</t>
  </si>
  <si>
    <t>3 Bedroom Bungalow With Boys Quarters</t>
  </si>
  <si>
    <t>An Estate Opposite Sunnyvale Estate, Lokogoma Abuja</t>
  </si>
  <si>
    <t>6NLUL</t>
  </si>
  <si>
    <t>https://www.propertypro.ng/property/3-bedroom-house-for-sale-an-estate-opposite-sunnyvale-estate-lokogoma-abuja-6NLUL</t>
  </si>
  <si>
    <t>Standard 3 Bedroom Flat With A Bq</t>
  </si>
  <si>
    <t>Galadimawa</t>
  </si>
  <si>
    <t>Brains And Hammers Estate, Galadimawa Abuja</t>
  </si>
  <si>
    <t>3PCDY</t>
  </si>
  <si>
    <t>https://www.propertypro.ng/property/3-bedroom-flat-apartment-for-sale-brains-and-hammers-estate-galadimawa-abuja-3PCDY</t>
  </si>
  <si>
    <t>Luxurious 4 Bedroom Detached Duplex With Bq/pool</t>
  </si>
  <si>
    <t>Close To Sunnyvale Estate, Galadimawa Abuja</t>
  </si>
  <si>
    <t>3NRPC</t>
  </si>
  <si>
    <t>https://www.propertypro.ng/property/5-bedroom-house-for-sale-close-to-sunnyvale-estate-galadimawa-abuja-3NRPC</t>
  </si>
  <si>
    <t>Luxurious 4bedroom Detached Duplex +2rooms Bq</t>
  </si>
  <si>
    <t>Gadimawa Galadimawa Abuja</t>
  </si>
  <si>
    <t>8PJSG</t>
  </si>
  <si>
    <t>https://www.propertypro.ng/property/4-bedroom-house-for-sale-gadimawa-galadimawa-abuja-8PJSG</t>
  </si>
  <si>
    <t>Standard 3 Bedroom Penthouse</t>
  </si>
  <si>
    <t>Close To Standard Estate, Galadimawa Abuja</t>
  </si>
  <si>
    <t>6PFJA</t>
  </si>
  <si>
    <t>https://www.propertypro.ng/property/3-bedroom-house-for-sale-close-to-standard-estate-galadimawa-abuja-6PFJA</t>
  </si>
  <si>
    <t>5 Bedroom Flat With A Bq</t>
  </si>
  <si>
    <t>Galadimawa Abuja</t>
  </si>
  <si>
    <t>0NBEK</t>
  </si>
  <si>
    <t>https://www.propertypro.ng/property/5-bedroom-house-for-sale-galadimawa-abuja-0NBEK</t>
  </si>
  <si>
    <t>Close To Brains And Hammers Estate, Galadimawa Abuja</t>
  </si>
  <si>
    <t>2PEZS</t>
  </si>
  <si>
    <t>https://www.propertypro.ng/property/2-bedroom-flat-apartment-for-sale-close-to-brains-and-hammers-estate-galadimawa-abuja-2PEZS</t>
  </si>
  <si>
    <t>Standard 4 Bedroom Duplex</t>
  </si>
  <si>
    <t>Brains And Hammers Estate Galadimawa Abuja</t>
  </si>
  <si>
    <t>5NJLW</t>
  </si>
  <si>
    <t>https://www.propertypro.ng/property/4-bedroom-house-for-sale-brains-and-hammers-estate-galadimawa-abuja-5NJLW</t>
  </si>
  <si>
    <t>Newly Built Serviced 3 Bedroom Flat</t>
  </si>
  <si>
    <t>Tarred Road Galadimawa Abuja</t>
  </si>
  <si>
    <t>2NKFU</t>
  </si>
  <si>
    <t>https://www.propertypro.ng/property/3-bedroom-flat-apartment-for-sale-tarred-road-galadimawa-abuja-2NKFU</t>
  </si>
  <si>
    <t>Newly Built 5 Bedroom With Bq</t>
  </si>
  <si>
    <t>In An Estate Galadimawa Abuja</t>
  </si>
  <si>
    <t>9PMAV</t>
  </si>
  <si>
    <t>https://www.propertypro.ng/property/5-bedroom-house-for-sale-in-an-estate-galadimawa-abuja-9PMAV</t>
  </si>
  <si>
    <t>Newly Built 4 Bedroom Detached Duplex With Two Bq</t>
  </si>
  <si>
    <t>Behind Suncity Estate Galadimawa Abuja</t>
  </si>
  <si>
    <t>5NJKU</t>
  </si>
  <si>
    <t>https://www.propertypro.ng/property/4-bedroom-house-for-sale-behind-suncity-estate-galadimawa-abuja-5NJKU</t>
  </si>
  <si>
    <t>5 Bedroom Duplex With Bq For Sale Near Suncity Estate</t>
  </si>
  <si>
    <t>Behind Suncity Estate, Galadimawa Abuja</t>
  </si>
  <si>
    <t>1PHPX</t>
  </si>
  <si>
    <t>https://www.propertypro.ng/property/5-bedroom-house-for-sale-behind-suncity-estate-galadimawa-abuja-1PHPX</t>
  </si>
  <si>
    <t>Carcass 4 Bedroom Duplex With Bq For Sale Near Suncity</t>
  </si>
  <si>
    <t>5PHPU</t>
  </si>
  <si>
    <t>https://www.propertypro.ng/property/4-bedroom-house-for-sale-behind-suncity-estate-galadimawa-abuja-5PHPU</t>
  </si>
  <si>
    <t>5 Bedroom Duplex With 2 Bq Rooms For Sale Near Suncity</t>
  </si>
  <si>
    <t>7PHPW</t>
  </si>
  <si>
    <t>https://www.propertypro.ng/property/5-bedroom-house-for-sale-behind-suncity-estate-galadimawa-abuja-7PHPW</t>
  </si>
  <si>
    <t>Opposite Suncity Galadimawa Abuja</t>
  </si>
  <si>
    <t>2NMHY</t>
  </si>
  <si>
    <t>https://www.propertypro.ng/property/5-bedroom-house-for-sale-opposite-suncity-galadimawa-abuja-2NMHY</t>
  </si>
  <si>
    <t>3 Bedrooms Bungalow</t>
  </si>
  <si>
    <t>Galadimawa Galadimawa Abuja</t>
  </si>
  <si>
    <t>4PLLC</t>
  </si>
  <si>
    <t>https://www.propertypro.ng/property/3-bedroom-house-for-sale-galadimawa-galadimawa-abuja-4PLLC</t>
  </si>
  <si>
    <t>3 Bedroom Apartment With Bq</t>
  </si>
  <si>
    <t>4PCWN</t>
  </si>
  <si>
    <t>https://www.propertypro.ng/property/3-bedroom-house-for-sale-galadimawa-abuja-4PCWN</t>
  </si>
  <si>
    <t>0PCWM</t>
  </si>
  <si>
    <t>https://www.propertypro.ng/property/4-bedroom-house-for-sale-galadimawa-abuja-0PCWM</t>
  </si>
  <si>
    <t>6PCWN</t>
  </si>
  <si>
    <t>https://www.propertypro.ng/property/4-bedroom-house-for-sale-galadimawa-abuja-6PCWN</t>
  </si>
  <si>
    <t>6PCWM</t>
  </si>
  <si>
    <t>https://www.propertypro.ng/property/5-bedroom-house-for-sale-galadimawa-abuja-6PCWM</t>
  </si>
  <si>
    <t>Kubwa Abuja</t>
  </si>
  <si>
    <t>4PJAW</t>
  </si>
  <si>
    <t>https://www.propertypro.ng/property/4-bedroom-house-for-sale-kubwa-abuja-4PJAW</t>
  </si>
  <si>
    <t>2 Bedroom Terrace Duplex</t>
  </si>
  <si>
    <t>3PJAX</t>
  </si>
  <si>
    <t>https://www.propertypro.ng/property/2-bedroom-house-for-sale-kubwa-abuja-3PJAX</t>
  </si>
  <si>
    <t>3 Bedroom Terrace Duplex</t>
  </si>
  <si>
    <t>1PJAX</t>
  </si>
  <si>
    <t>https://www.propertypro.ng/property/3-bedroom-house-for-sale-kubwa-abuja-1PJAX</t>
  </si>
  <si>
    <t>8 Units Of 2 Bedroom Terrace Duplex</t>
  </si>
  <si>
    <t>5NNBQ</t>
  </si>
  <si>
    <t>https://www.propertypro.ng/property/2-bedroom-house-for-sale-kubwa-abuja-5NNBQ</t>
  </si>
  <si>
    <t>Kubwa, Abuja Kubwa Abuja</t>
  </si>
  <si>
    <t>2PHAW</t>
  </si>
  <si>
    <t>https://www.propertypro.ng/property/3-bedroom-house-for-sale-kubwa-abuja-kubwa-abuja-2PHAW</t>
  </si>
  <si>
    <t>Newly Built 4 Bedroom Semi Detached Duplex</t>
  </si>
  <si>
    <t>Estate , F01 Fo1 Layout Kubwa Abuja</t>
  </si>
  <si>
    <t>8PHXT</t>
  </si>
  <si>
    <t>https://www.propertypro.ng/property/4-bedroom-house-for-sale-estate-f01-fo1-layout-kubwa-abuja-8PHXT</t>
  </si>
  <si>
    <t>4 Units Of Standard 2 Bedroom Block Of Flats</t>
  </si>
  <si>
    <t>F01 Fo1 Layout Kubwa Abuja</t>
  </si>
  <si>
    <t>5PKPE</t>
  </si>
  <si>
    <t>https://www.propertypro.ng/property/2-bedroom-house-for-sale-f01-fo1-layout-kubwa-abuja-5PKPE</t>
  </si>
  <si>
    <t>F01 Tarred Road Kubwa Abuja</t>
  </si>
  <si>
    <t>2PLEF</t>
  </si>
  <si>
    <t>https://www.propertypro.ng/property/2-bedroom-house-for-sale-f01-tarred-road-kubwa-abuja-2PLEF</t>
  </si>
  <si>
    <t>Estate Kubwa Fo1 Layout Kubwa Abuja</t>
  </si>
  <si>
    <t>7PJDE</t>
  </si>
  <si>
    <t>https://www.propertypro.ng/property/2-bedroom-flat-apartment-for-sale-estate-kubwa-fo1-layout-kubwa-abuja-7PJDE</t>
  </si>
  <si>
    <t>Blocks Of Flats</t>
  </si>
  <si>
    <t>7PGWU</t>
  </si>
  <si>
    <t>https://www.propertypro.ng/property/6-bedroom-house-for-sale-kubwa-abuja-7PGWU</t>
  </si>
  <si>
    <t>Around Game Village Kubwa Abuja</t>
  </si>
  <si>
    <t>7NDGX</t>
  </si>
  <si>
    <t>https://www.propertypro.ng/property/4-bedroom-house-for-sale-around-game-village-kubwa-abuja-7NDGX</t>
  </si>
  <si>
    <t>Kagini Opposite Arab Road Kubwa Abuja</t>
  </si>
  <si>
    <t>3PLLW</t>
  </si>
  <si>
    <t>https://www.propertypro.ng/property/3-bedroom-house-for-sale-kagini-opposite-arab-road-kubwa-abuja-3PLLW</t>
  </si>
  <si>
    <t>Kubwa F01 Kubwa Abuja</t>
  </si>
  <si>
    <t>9NYCD</t>
  </si>
  <si>
    <t>https://www.propertypro.ng/property/2-bedroom-house-for-sale-kubwa-f01-kubwa-abuja-9NYCD</t>
  </si>
  <si>
    <t>Newly Built And Spacious 3 Bedroom Apartment</t>
  </si>
  <si>
    <t>Dawaki</t>
  </si>
  <si>
    <t>News Engineering Dawaki Dawaki Abuja</t>
  </si>
  <si>
    <t>4NVJM</t>
  </si>
  <si>
    <t>https://www.propertypro.ng/property/3-bedroom-house-for-sale-news-engineering-dawaki-dawaki-abuja-4NVJM</t>
  </si>
  <si>
    <t>New Engineering Dawaki Dawaki Abuja</t>
  </si>
  <si>
    <t>7NVJQ</t>
  </si>
  <si>
    <t>https://www.propertypro.ng/property/2-bedroom-house-for-sale-new-engineering-dawaki-dawaki-abuja-7NVJQ</t>
  </si>
  <si>
    <t>19 Units Of 4 Bedroom Terraced Duplex</t>
  </si>
  <si>
    <t>Dawaki Abuja</t>
  </si>
  <si>
    <t>4NNTT</t>
  </si>
  <si>
    <t>https://www.propertypro.ng/property/4-bedroom-house-for-sale-dawaki-abuja-4NNTT</t>
  </si>
  <si>
    <t>Dawaki Opposite Gwarinpa, Dawaki Abuja</t>
  </si>
  <si>
    <t>5PHZP</t>
  </si>
  <si>
    <t>https://www.propertypro.ng/property/2-bedroom-house-for-sale-dawaki-opposite-gwarinpa-dawaki-abuja-5PHZP</t>
  </si>
  <si>
    <t>5 Bedrooms Duplex Duplex</t>
  </si>
  <si>
    <t>Dawaki Dawaki Abuja</t>
  </si>
  <si>
    <t>2PJSK</t>
  </si>
  <si>
    <t>https://www.propertypro.ng/property/5-bedroom-house-for-sale-dawaki-dawaki-abuja-2PJSK</t>
  </si>
  <si>
    <t>1PEGS</t>
  </si>
  <si>
    <t>https://www.propertypro.ng/property/3-bedroom-flat-apartment-for-sale-dawaki-abuja-1PEGS</t>
  </si>
  <si>
    <t>0PFDB</t>
  </si>
  <si>
    <t>https://www.propertypro.ng/property/5-bedroom-house-for-sale-dawaki-dawaki-abuja-0PFDB</t>
  </si>
  <si>
    <t>5PEFV</t>
  </si>
  <si>
    <t>https://www.propertypro.ng/property/4-bedroom-house-for-sale-dawaki-abuja-5PEFV</t>
  </si>
  <si>
    <t>5 Bedroom Fully Detached Duplex Carcass For Sale</t>
  </si>
  <si>
    <t>1PJVE</t>
  </si>
  <si>
    <t>https://www.propertypro.ng/property/5-bedroom-house-for-sale-dawaki-abuja-1PJVE</t>
  </si>
  <si>
    <t>Twin 3 Bedroom Semi Detached Duplex</t>
  </si>
  <si>
    <t>Trans Engineering 1 Estate, Dawaki Abuja</t>
  </si>
  <si>
    <t>5NNFA</t>
  </si>
  <si>
    <t>https://www.propertypro.ng/property/3-bedroom-house-for-sale-trans-engineering-1-estate-dawaki-abuja-5NNFA</t>
  </si>
  <si>
    <t>Dawaki New Engineering Tarred Road Dawaki Abuja</t>
  </si>
  <si>
    <t>3NXZY</t>
  </si>
  <si>
    <t>https://www.propertypro.ng/property/4-bedroom-house-for-sale-dawaki-new-engineering-tarred-road-dawaki-abuja-3NXZY</t>
  </si>
  <si>
    <t>5NYRG</t>
  </si>
  <si>
    <t>https://www.propertypro.ng/property/4-bedroom-house-for-sale-dawaki-abuja-5NYRG</t>
  </si>
  <si>
    <t>0PAZW</t>
  </si>
  <si>
    <t>https://www.propertypro.ng/property/2-bedroom-flat-apartment-for-sale-dawaki-abuja-0PAZW</t>
  </si>
  <si>
    <t>Decent 2 Bedroom Flat</t>
  </si>
  <si>
    <t>Dawaki By Modern Market, Dawaki Abuja</t>
  </si>
  <si>
    <t>7PEDE</t>
  </si>
  <si>
    <t>https://www.propertypro.ng/property/2-bedroom-flat-apartment-for-sale-dawaki-by-modern-market-dawaki-abuja-7PEDE</t>
  </si>
  <si>
    <t>By Modern Market, Dawaki Abuja</t>
  </si>
  <si>
    <t>2PEBW</t>
  </si>
  <si>
    <t>https://www.propertypro.ng/property/2-bedroom-flat-apartment-for-sale-by-modern-market-dawaki-abuja-2PEBW</t>
  </si>
  <si>
    <t>Dawaki By Modern Market, Dawaki, Abuja Dawaki Abuja</t>
  </si>
  <si>
    <t>8PFTX</t>
  </si>
  <si>
    <t>https://www.propertypro.ng/property/3-bedroom-house-for-sale-dawaki-by-modern-market-dawaki-abuja-dawaki-abuja-8PFTX</t>
  </si>
  <si>
    <t>A Massive 4 Bedroom Duplex With An Attached Bq</t>
  </si>
  <si>
    <t>New Engineering Dawaki Abuja</t>
  </si>
  <si>
    <t>8PKNQ</t>
  </si>
  <si>
    <t>https://www.propertypro.ng/property/4-bedroom-house-for-sale-new-engineering-dawaki-abuja-8PKNQ</t>
  </si>
  <si>
    <t>6 Units Of 3 Bedroom Terrace Duplex</t>
  </si>
  <si>
    <t>2NVNA</t>
  </si>
  <si>
    <t>https://www.propertypro.ng/property/3-bedroom-house-for-sale-dawaki-abuja-2NVNA</t>
  </si>
  <si>
    <t>Standard 4 Bedroom With A Bq</t>
  </si>
  <si>
    <t>Guzape</t>
  </si>
  <si>
    <t>Guzape Abuja</t>
  </si>
  <si>
    <t>6PLJE</t>
  </si>
  <si>
    <t>https://www.propertypro.ng/property/4-bedroom-house-for-sale-guzape-abuja-6PLJE</t>
  </si>
  <si>
    <t>Luxurious 5 Bedroom Detached Duplex With Bq</t>
  </si>
  <si>
    <t>Close To Fairview School, Guzape Abuja</t>
  </si>
  <si>
    <t>8NQML</t>
  </si>
  <si>
    <t>https://www.propertypro.ng/property/5-bedroom-house-for-sale-close-to-fairview-school-guzape-abuja-8NQML</t>
  </si>
  <si>
    <t>Close To Nnpc Guzape Abuja</t>
  </si>
  <si>
    <t>1PDXZ</t>
  </si>
  <si>
    <t>https://www.propertypro.ng/property/5-bedroom-house-for-sale-close-to-nnpc-guzape-abuja-1PDXZ</t>
  </si>
  <si>
    <t>8 Bedroom Detached Duplex With Bq</t>
  </si>
  <si>
    <t>Close To Nnpc Estate Guzape Abuja</t>
  </si>
  <si>
    <t>8PAYC</t>
  </si>
  <si>
    <t>https://www.propertypro.ng/property/8-bedroom-house-for-sale-close-to-nnpc-estate-guzape-abuja-8PAYC</t>
  </si>
  <si>
    <t>4 Bedroom Duplex With 2 Bq</t>
  </si>
  <si>
    <t>Close To Nnpc, Guzape Abuja</t>
  </si>
  <si>
    <t>3PBEZ</t>
  </si>
  <si>
    <t>https://www.propertypro.ng/property/4-bedroom-house-for-sale-close-to-nnpc-guzape-abuja-3PBEZ</t>
  </si>
  <si>
    <t>Close To Fairview School Guzape Abuja</t>
  </si>
  <si>
    <t>3NYLQ</t>
  </si>
  <si>
    <t>https://www.propertypro.ng/property/4-bedroom-house-for-sale-close-to-fairview-school-guzape-abuja-3NYLQ</t>
  </si>
  <si>
    <t>7 Bedroom Flats</t>
  </si>
  <si>
    <t>Close To Peace Setters School Guzape Abuja</t>
  </si>
  <si>
    <t>4NXSX</t>
  </si>
  <si>
    <t>https://www.propertypro.ng/property/7-bedroom-house-for-sale-close-to-peace-setters-school-guzape-abuja-4NXSX</t>
  </si>
  <si>
    <t>5 Bedroom Detached Duplex With 1 Bedroom Guest Chalet</t>
  </si>
  <si>
    <t>Guzape Abuja Diplomatic Zone Guzape Abuja</t>
  </si>
  <si>
    <t>5PLRB</t>
  </si>
  <si>
    <t>https://www.propertypro.ng/property/5-bedroom-house-for-sale-guzape-abuja-diplomatic-zone-guzape-abuja-5PLRB</t>
  </si>
  <si>
    <t>Five (5) Units Of Well Finished 4 Bedroom Terraced</t>
  </si>
  <si>
    <t>9PLZQ</t>
  </si>
  <si>
    <t>https://www.propertypro.ng/property/4-bedroom-house-for-sale-guzape-abuja-9PLZQ</t>
  </si>
  <si>
    <t>Luxury 5 Bedroom Fully Detached Duplex +bq</t>
  </si>
  <si>
    <t>Behind Coza Guzape Abuja</t>
  </si>
  <si>
    <t>5PFKP</t>
  </si>
  <si>
    <t>https://www.propertypro.ng/property/5-bedroom-house-for-sale-behind-coza-guzape-abuja-5PFKP</t>
  </si>
  <si>
    <t>0NMAU</t>
  </si>
  <si>
    <t>https://www.propertypro.ng/property/3-bedroom-flat-apartment-for-sale-guzape-abuja-0NMAU</t>
  </si>
  <si>
    <t>1MVFK</t>
  </si>
  <si>
    <t>https://www.propertypro.ng/property/4-bedroom-house-for-sale-guzape-abuja-1MVFK</t>
  </si>
  <si>
    <t>4MWZU</t>
  </si>
  <si>
    <t>https://www.propertypro.ng/property/4-bedroom-house-for-sale-guzape-abuja-4MWZU</t>
  </si>
  <si>
    <t>Newly Built 5 Bedroom Detached Duplex With Penthouse</t>
  </si>
  <si>
    <t>6NSMM</t>
  </si>
  <si>
    <t>https://www.propertypro.ng/property/5-bedroom-house-for-sale-guzape-abuja-6NSMM</t>
  </si>
  <si>
    <t>Bedroom Duplex</t>
  </si>
  <si>
    <t>0NPZG</t>
  </si>
  <si>
    <t>https://www.propertypro.ng/property/5-bedroom-flat-apartment-for-sale-guzape-abuja-0NPZG</t>
  </si>
  <si>
    <t>5 Bedroom Detached Duplex</t>
  </si>
  <si>
    <t>Utako</t>
  </si>
  <si>
    <t>Utako Abuja</t>
  </si>
  <si>
    <t>7PGVE</t>
  </si>
  <si>
    <t>https://www.propertypro.ng/property/5-bedroom-house-for-sale-utako-abuja-7PGVE</t>
  </si>
  <si>
    <t>3PGGF</t>
  </si>
  <si>
    <t>https://www.propertypro.ng/property/5-bedroom-house-for-sale-utako-abuja-3PGGF</t>
  </si>
  <si>
    <t>3PBCY</t>
  </si>
  <si>
    <t>https://www.propertypro.ng/property/5-bedroom-house-for-sale-utako-abuja-3PBCY</t>
  </si>
  <si>
    <t>Massive 17 Rooms Duplex ( Fully Detached)</t>
  </si>
  <si>
    <t>Utako, Abuja Utako Abuja</t>
  </si>
  <si>
    <t>0PLNB</t>
  </si>
  <si>
    <t>https://www.propertypro.ng/property/10-bedroom-house-for-sale-utako-abuja-utako-abuja-0PLNB</t>
  </si>
  <si>
    <t>Newly Built And Beautiful 4bedroom Terrace With Bq</t>
  </si>
  <si>
    <t>Utako Utako Abuja</t>
  </si>
  <si>
    <t>2PMGM</t>
  </si>
  <si>
    <t>https://www.propertypro.ng/property/4-bedroom-house-for-sale-utako-utako-abuja-2PMGM</t>
  </si>
  <si>
    <t>33 Units Of Spacious Apartment</t>
  </si>
  <si>
    <t>7NKKQ</t>
  </si>
  <si>
    <t>https://www.propertypro.ng/property/1-bedroom-house-for-sale-utako-abuja-7NKKQ</t>
  </si>
  <si>
    <t>1MYWB</t>
  </si>
  <si>
    <t>https://www.propertypro.ng/property/4-bedroom-house-for-sale-utako-abuja-1MYWB</t>
  </si>
  <si>
    <t>Newly Built 6 Bedroom Fully Detached Duplex</t>
  </si>
  <si>
    <t>7PLPK</t>
  </si>
  <si>
    <t>https://www.propertypro.ng/property/6-bedroom-house-for-sale-utako-abuja-7PLPK</t>
  </si>
  <si>
    <t>6 Units Of 3 Bedroom Flat With Bq</t>
  </si>
  <si>
    <t>4PCYR</t>
  </si>
  <si>
    <t>https://www.propertypro.ng/property/3-bedroom-house-for-sale-utako-abuja-4PCYR</t>
  </si>
  <si>
    <t>Fu5 Bedroom Detached Duplex</t>
  </si>
  <si>
    <t>1NYCY</t>
  </si>
  <si>
    <t>https://www.propertypro.ng/property/5-bedroom-house-for-sale-utako-abuja-1NYCY</t>
  </si>
  <si>
    <t>4 Units Of 5 Bedroom Detached Duplex With Bq</t>
  </si>
  <si>
    <t>9NRVU</t>
  </si>
  <si>
    <t>https://www.propertypro.ng/property/5-bedroom-house-for-sale-utako-abuja-9NRVU</t>
  </si>
  <si>
    <t>Fully Detached 17 Rooms Duplex</t>
  </si>
  <si>
    <t>6PKYP</t>
  </si>
  <si>
    <t>https://www.propertypro.ng/property/10-bedroom-house-for-sale-utako-abuja-utako-abuja-6PKYP</t>
  </si>
  <si>
    <t>Stunning 4 Bedroom Terrace Duplex + Bq (smart Home)</t>
  </si>
  <si>
    <t>rent</t>
  </si>
  <si>
    <t>4PJVM</t>
  </si>
  <si>
    <t>https://www.propertypro.ng/property/4-bedroom-house-for-rent-maitama-abuja-4PJVM</t>
  </si>
  <si>
    <t>1NXGX</t>
  </si>
  <si>
    <t>https://www.propertypro.ng/property/4-bedroom-flat-apartment-for-rent-maitama-abuja-1NXGX</t>
  </si>
  <si>
    <t>8PHKT</t>
  </si>
  <si>
    <t>https://www.propertypro.ng/property/4-bedroom-house-for-rent-maitama-abuja-8PHKT</t>
  </si>
  <si>
    <t>Executive 5 Bedroom Fully Detached Duplex</t>
  </si>
  <si>
    <t>4PJPY</t>
  </si>
  <si>
    <t>https://www.propertypro.ng/property/5-bedroom-house-for-rent-maitama-abuja-4PJPY</t>
  </si>
  <si>
    <t>5PDYR</t>
  </si>
  <si>
    <t>https://www.propertypro.ng/property/4-bedroom-house-for-rent-maitama-abuja-5PDYR</t>
  </si>
  <si>
    <t>1PDYR</t>
  </si>
  <si>
    <t>https://www.propertypro.ng/property/4-bedroom-house-for-rent-maitama-abuja-1PDYR</t>
  </si>
  <si>
    <t>8PDYQ</t>
  </si>
  <si>
    <t>https://www.propertypro.ng/property/6-bedroom-house-for-rent-maitama-abuja-8PDYQ</t>
  </si>
  <si>
    <t>Maitama Main Maitama Abuja</t>
  </si>
  <si>
    <t>4PHHM</t>
  </si>
  <si>
    <t>https://www.propertypro.ng/property/4-bedroom-house-for-rent-maitama-main-maitama-abuja-4PHHM</t>
  </si>
  <si>
    <t>Fully Furnished 3 Bedroom Block Of Flat</t>
  </si>
  <si>
    <t>3PHHN</t>
  </si>
  <si>
    <t>https://www.propertypro.ng/property/3-bedroom-flat-apartment-for-rent-maitama-main-maitama-abuja-3PHHN</t>
  </si>
  <si>
    <t>5 Bedroom Duplex With 3 Rooms Bq</t>
  </si>
  <si>
    <t>0PHHP</t>
  </si>
  <si>
    <t>https://www.propertypro.ng/property/5-bedroom-house-for-rent-maitama-main-maitama-abuja-0PHHP</t>
  </si>
  <si>
    <t>4PKPR</t>
  </si>
  <si>
    <t>https://www.propertypro.ng/property/2-bedroom-flat-apartment-for-rent-maitama-maitama-abuja-4PKPR</t>
  </si>
  <si>
    <t>7 Bedroom Detached Duplex+bq</t>
  </si>
  <si>
    <t>4PKSG</t>
  </si>
  <si>
    <t>https://www.propertypro.ng/property/7-bedroom-house-for-rent-maitama-maitama-abuja-4PKSG</t>
  </si>
  <si>
    <t>4 Bedroom Semi Detached Duplex+bq</t>
  </si>
  <si>
    <t>8PKLS</t>
  </si>
  <si>
    <t>https://www.propertypro.ng/property/4-bedroom-house-for-rent-maitama-maitama-abuja-8PKLS</t>
  </si>
  <si>
    <t>2PJZH</t>
  </si>
  <si>
    <t>https://www.propertypro.ng/property/4-bedroom-house-for-rent-maitama-maitama-abuja-2PJZH</t>
  </si>
  <si>
    <t>9NRZL</t>
  </si>
  <si>
    <t>https://www.propertypro.ng/property/4-bedroom-house-for-rent-maitama-abuja-9NRZL</t>
  </si>
  <si>
    <t>5PBCM</t>
  </si>
  <si>
    <t>https://www.propertypro.ng/property/4-bedroom-house-for-rent-maitama-abuja-5PBCM</t>
  </si>
  <si>
    <t>6 Bedroom Detached Duplex</t>
  </si>
  <si>
    <t>1PGVE</t>
  </si>
  <si>
    <t>https://www.propertypro.ng/property/6-bedroom-house-for-rent-maitama-abuja-1PGVE</t>
  </si>
  <si>
    <t>5 Bedroom Terraced Duplex With 1 Bedroom Guest Chalet</t>
  </si>
  <si>
    <t>3PGVB</t>
  </si>
  <si>
    <t>https://www.propertypro.ng/property/5-bedroom-house-for-rent-maitama-abuja-3PGVB</t>
  </si>
  <si>
    <t>5 Bedroom Semi Detached Duplex With Bq</t>
  </si>
  <si>
    <t>3PJGW</t>
  </si>
  <si>
    <t>https://www.propertypro.ng/property/5-bedroom-house-for-rent-asokoro-abuja-3PJGW</t>
  </si>
  <si>
    <t>2 Bedroom Bungalow With Swimming Pool And Gym</t>
  </si>
  <si>
    <t>Asokoro Abuja Diplomatic Zone Asokoro Abuja</t>
  </si>
  <si>
    <t>6PLMJ</t>
  </si>
  <si>
    <t>https://www.propertypro.ng/property/2-bedroom-house-for-rent-asokoro-abuja-diplomatic-zone-asokoro-abuja-6PLMJ</t>
  </si>
  <si>
    <t>Fully Furnished 2 Bedroom Block Of Flat</t>
  </si>
  <si>
    <t>8PLMJ</t>
  </si>
  <si>
    <t>https://www.propertypro.ng/property/2-bedroom-house-for-rent-asokoro-abuja-diplomatic-zone-asokoro-abuja-8PLMJ</t>
  </si>
  <si>
    <t>Diplomatic Zone, Asokoro Abuja</t>
  </si>
  <si>
    <t>1PJCG</t>
  </si>
  <si>
    <t>https://www.propertypro.ng/property/5-bedroom-house-for-rent-diplomatic-zone-asokoro-abuja-1PJCG</t>
  </si>
  <si>
    <t>Furnished 3bedroom Apartment</t>
  </si>
  <si>
    <t>4PLWX</t>
  </si>
  <si>
    <t>https://www.propertypro.ng/property/3-bedroom-flat-apartment-for-rent-wuse-2-abuja-4PLWX</t>
  </si>
  <si>
    <t>5 Bedroom Detached Duplex+2rooms Bq</t>
  </si>
  <si>
    <t>Off Ademola Adetokunbo Wuse 2 Abuja</t>
  </si>
  <si>
    <t>9PGBF</t>
  </si>
  <si>
    <t>https://www.propertypro.ng/property/5-bedroom-house-for-rent-off-ademola-adetokunbo-wuse-2-abuja-9PGBF</t>
  </si>
  <si>
    <t>3 Bedroom Flat With 1 Bq</t>
  </si>
  <si>
    <t>6PHJA</t>
  </si>
  <si>
    <t>https://www.propertypro.ng/property/3-bedroom-flat-apartment-for-rent-wuse-2-abuja-6PHJA</t>
  </si>
  <si>
    <t>A Fully Detached 6 Bedroom Duplex + Bq</t>
  </si>
  <si>
    <t>Wuse2, Abuja. Wuse 2 Abuja</t>
  </si>
  <si>
    <t>8PHFW</t>
  </si>
  <si>
    <t>https://www.propertypro.ng/property/6-bedroom-house-for-rent-wuse2-abuja-wuse-2-abuja-8PHFW</t>
  </si>
  <si>
    <t>Wuse 2 Abuja Wuse 2 Abuja</t>
  </si>
  <si>
    <t>1PHDB</t>
  </si>
  <si>
    <t>https://www.propertypro.ng/property/3-bedroom-flat-apartment-for-rent-wuse-2-abuja-wuse-2-abuja-1PHDB</t>
  </si>
  <si>
    <t>10 Bedroom Bungalow</t>
  </si>
  <si>
    <t>8PHDC</t>
  </si>
  <si>
    <t>https://www.propertypro.ng/property/10-bedroom-house-for-rent-wuse-2-abuja-wuse-2-abuja-8PHDC</t>
  </si>
  <si>
    <t>Furnished And Serviced 3 Bedroom Apartment To Let</t>
  </si>
  <si>
    <t>6PHLW</t>
  </si>
  <si>
    <t>https://www.propertypro.ng/property/3-bedroom-flat-apartment-for-rent-wuse-2-abuja-6PHLW</t>
  </si>
  <si>
    <t>7PGPT</t>
  </si>
  <si>
    <t>https://www.propertypro.ng/property/4-bedroom-house-for-rent-wuse-2-abuja-7PGPT</t>
  </si>
  <si>
    <t>Spacious 3 Bedroom Flat</t>
  </si>
  <si>
    <t>Wuse2 Wuse 2 Abuja</t>
  </si>
  <si>
    <t>4PMAV</t>
  </si>
  <si>
    <t>https://www.propertypro.ng/property/3-bedroom-flat-apartment-for-rent-wuse2-wuse-2-abuja-4PMAV</t>
  </si>
  <si>
    <t>3 Bedroom Terrace Duplex+bq</t>
  </si>
  <si>
    <t>3PLVD</t>
  </si>
  <si>
    <t>https://www.propertypro.ng/property/3-bedroom-house-for-rent-wuse2-wuse-2-abuja-3PLVD</t>
  </si>
  <si>
    <t>9PLAL</t>
  </si>
  <si>
    <t>https://www.propertypro.ng/property/2-bedroom-flat-apartment-for-rent-wuse2-wuse-2-abuja-9PLAL</t>
  </si>
  <si>
    <t>1 Bedroom Flat</t>
  </si>
  <si>
    <t>1PMAV</t>
  </si>
  <si>
    <t>https://www.propertypro.ng/property/1-bedroom-flat-apartment-for-rent-wuse2-wuse-2-abuja-1PMAV</t>
  </si>
  <si>
    <t>5 Bedroom Terraced Duplex</t>
  </si>
  <si>
    <t>9PHHE</t>
  </si>
  <si>
    <t>https://www.propertypro.ng/property/5-bedroom-house-for-rent-wuse-2-abuja-9PHHE</t>
  </si>
  <si>
    <t>Furnished 2 Bedroom Apartment || Wuse 2</t>
  </si>
  <si>
    <t>5PLDU</t>
  </si>
  <si>
    <t>https://www.propertypro.ng/property/2-bedroom-flat-apartment-for-rent-wuse-2-abuja-5PLDU</t>
  </si>
  <si>
    <t>4 Bedroom Detached Duplex With Swimming Pool/gym</t>
  </si>
  <si>
    <t>Wuse 2 District Abuja Diplomatic Zone, Wuse 2 Abuja</t>
  </si>
  <si>
    <t>1NZEP</t>
  </si>
  <si>
    <t>https://www.propertypro.ng/property/4-bedroom-house-for-rent-wuse-2-district-abuja-diplomatic-zone-wuse-2-abuja-1NZEP</t>
  </si>
  <si>
    <t>Newly Built 6 Rooms Duplex With Bq ( Self Compound)</t>
  </si>
  <si>
    <t>6th Avenue, Gwarinpa, Abuja Gwarinpa Abuja</t>
  </si>
  <si>
    <t>5PMHV</t>
  </si>
  <si>
    <t>https://www.propertypro.ng/property/6-bedroom-house-for-rent-6th-avenue-gwarinpa-abuja-gwarinpa-abuja-5PMHV</t>
  </si>
  <si>
    <t>Nice 2bedroom Flat</t>
  </si>
  <si>
    <t>Gwarinpa Main, Gwarinpa, Abuja Gwarinpa Abuja</t>
  </si>
  <si>
    <t>6PMET</t>
  </si>
  <si>
    <t>https://www.propertypro.ng/property/2-bedroom-flat-apartment-for-rent-gwarinpa-main-gwarinpa-abuja-gwarinpa-abuja-6PMET</t>
  </si>
  <si>
    <t>5PCGX</t>
  </si>
  <si>
    <t>https://www.propertypro.ng/property/4-bedroom-house-for-rent-gwarinpa-abuja-5PCGX</t>
  </si>
  <si>
    <t>9PLSA</t>
  </si>
  <si>
    <t>https://www.propertypro.ng/property/3-bedroom-flat-apartment-for-rent-6th-avenue-gwarinpa-abuja-9PLSA</t>
  </si>
  <si>
    <t>A Good 5 Bedroom Semi Detached Duplex + 2bqs</t>
  </si>
  <si>
    <t>Off 7th Avenue. Video Is Available. Gwarinpa Abuja</t>
  </si>
  <si>
    <t>0PKHQ</t>
  </si>
  <si>
    <t>https://www.propertypro.ng/property/5-bedroom-house-for-rent-off-7th-avenue-video-is-available-gwarinpa-abuja-0PKHQ</t>
  </si>
  <si>
    <t>Newly Built 4bedroom Detached Duplex</t>
  </si>
  <si>
    <t>In An Estate Gwarinpa Extension, Abuja Gwarinpa Abuja</t>
  </si>
  <si>
    <t>8PLEL</t>
  </si>
  <si>
    <t>https://www.propertypro.ng/property/4-bedroom-house-for-rent-in-an-estate-gwarinpa-extension-abuja-gwarinpa-abuja-8PLEL</t>
  </si>
  <si>
    <t>Well Finished 3 Bedroom Apartment</t>
  </si>
  <si>
    <t>Gwarinpa Main Gwarinpa Abuja</t>
  </si>
  <si>
    <t>3PGWD</t>
  </si>
  <si>
    <t>https://www.propertypro.ng/property/3-bedroom-flat-apartment-for-rent-gwarinpa-main-gwarinpa-abuja-3PGWD</t>
  </si>
  <si>
    <t>Newly Built 2 Bedroom Flat (bq)</t>
  </si>
  <si>
    <t>Mab Global Estate Gwarinpa Abuja</t>
  </si>
  <si>
    <t>0PGZR</t>
  </si>
  <si>
    <t>https://www.propertypro.ng/property/2-bedroom-flat-apartment-for-rent-mab-global-estate-gwarinpa-abuja-0PGZR</t>
  </si>
  <si>
    <t>0PGQB</t>
  </si>
  <si>
    <t>https://www.propertypro.ng/property/3-bedroom-house-for-rent-main-gwarinpa-abuja-0PGQB</t>
  </si>
  <si>
    <t>Gwarinpa Main, Abuja Gwarinpa Abuja</t>
  </si>
  <si>
    <t>1PHSG</t>
  </si>
  <si>
    <t>https://www.propertypro.ng/property/3-bedroom-flat-apartment-for-rent-gwarinpa-main-abuja-gwarinpa-abuja-1PHSG</t>
  </si>
  <si>
    <t>Gwarinpa Gwarinpa Abuja</t>
  </si>
  <si>
    <t>5PKSH</t>
  </si>
  <si>
    <t>https://www.propertypro.ng/property/1-bedroom-flat-apartment-for-rent-gwarinpa-gwarinpa-abuja-5PKSH</t>
  </si>
  <si>
    <t>3PLUZ</t>
  </si>
  <si>
    <t>https://www.propertypro.ng/property/1-bedroom-flat-apartment-for-rent-gwarinpa-gwarinpa-abuja-3PLUZ</t>
  </si>
  <si>
    <t>Beautiful 1 Bedroom Flat</t>
  </si>
  <si>
    <t>1PLQF</t>
  </si>
  <si>
    <t>https://www.propertypro.ng/property/1-bedroom-flat-apartment-for-rent-gwarinpa-gwarinpa-abuja-1PLQF</t>
  </si>
  <si>
    <t>Newly Built 2 Bedroom Flat With A Pool</t>
  </si>
  <si>
    <t>By Von Lugbe Abuja</t>
  </si>
  <si>
    <t>0PFHA</t>
  </si>
  <si>
    <t>https://www.propertypro.ng/property/2-bedroom-house-for-rent-by-von-lugbe-abuja-0PFHA</t>
  </si>
  <si>
    <t>2 Bedroom Semi Detached Duplex</t>
  </si>
  <si>
    <t>Lugbe Abuja</t>
  </si>
  <si>
    <t>7PFKQ</t>
  </si>
  <si>
    <t>https://www.propertypro.ng/property/2-bedroom-house-for-rent-lugbe-abuja-7PFKQ</t>
  </si>
  <si>
    <t>4 Bedroom Duplex To Let In River Park</t>
  </si>
  <si>
    <t>0PHFQ</t>
  </si>
  <si>
    <t>https://www.propertypro.ng/property/4-bedroom-house-for-rent-river-park-estate-lugbe-abuja-0PHFQ</t>
  </si>
  <si>
    <t>Newly Built 2 Bedroom Block Of Flats</t>
  </si>
  <si>
    <t>Along Von Garden Estate Road Lugbe Abuja</t>
  </si>
  <si>
    <t>2PJBJ</t>
  </si>
  <si>
    <t>https://www.propertypro.ng/property/2-bedroom-house-for-rent-along-von-garden-estate-road-lugbe-abuja-2PJBJ</t>
  </si>
  <si>
    <t>2 Bedroom Block Of Flats</t>
  </si>
  <si>
    <t>Airport Road Lugbe Abuja</t>
  </si>
  <si>
    <t>1PJEQ</t>
  </si>
  <si>
    <t>https://www.propertypro.ng/property/2-bedroom-house-for-rent-airport-road-lugbe-abuja-1PJEQ</t>
  </si>
  <si>
    <t>Standard 3 Bedroom Block Of Flats</t>
  </si>
  <si>
    <t>9PKYW</t>
  </si>
  <si>
    <t>https://www.propertypro.ng/property/3-bedroom-house-for-rent-river-park-estate-lugbe-abuja-9PKYW</t>
  </si>
  <si>
    <t>Spacious 3 Bedroom Bungalow With A Bq</t>
  </si>
  <si>
    <t>Von Garden Estate Lugbe Abuja</t>
  </si>
  <si>
    <t>6PJJT</t>
  </si>
  <si>
    <t>https://www.propertypro.ng/property/3-bedroom-house-for-rent-von-garden-estate-lugbe-abuja-6PJJT</t>
  </si>
  <si>
    <t>Newly Built 1 Bedroom Apartment</t>
  </si>
  <si>
    <t>Pyakasa, Lugbe Abuja</t>
  </si>
  <si>
    <t>8PHKB</t>
  </si>
  <si>
    <t>https://www.propertypro.ng/property/1-bedroom-house-for-rent-pyakasa-lugbe-abuja-8PHKB</t>
  </si>
  <si>
    <t>Newly Built And Very Standard 1 Bedroom</t>
  </si>
  <si>
    <t>Pyakasa Lugbe Lugbe Abuja</t>
  </si>
  <si>
    <t>1PKXX</t>
  </si>
  <si>
    <t>https://www.propertypro.ng/property/1-bedroom-house-for-rent-pyakasa-lugbe-lugbe-abuja-1PKXX</t>
  </si>
  <si>
    <t>Seaman Estate Lugbe Abuja</t>
  </si>
  <si>
    <t>9PKGS</t>
  </si>
  <si>
    <t>https://www.propertypro.ng/property/4-bedroom-house-for-rent-seaman-estate-lugbe-abuja-9PKGS</t>
  </si>
  <si>
    <t>2PHSZ</t>
  </si>
  <si>
    <t>https://www.propertypro.ng/property/3-bedroom-house-for-rent-seaman-estate-lugbe-abuja-2PHSZ</t>
  </si>
  <si>
    <t>Sharp 2 Bedroom Bungalow</t>
  </si>
  <si>
    <t>7PJRT</t>
  </si>
  <si>
    <t>https://www.propertypro.ng/property/2-bedroom-house-for-rent-along-von-garden-estate-road-lugbe-abuja-7PJRT</t>
  </si>
  <si>
    <t>Standard 2 Bedroom Block Of Flats</t>
  </si>
  <si>
    <t>Fha, Lugbe Abuja</t>
  </si>
  <si>
    <t>6PKDG</t>
  </si>
  <si>
    <t>https://www.propertypro.ng/property/2-bedroom-house-for-rent-fha-lugbe-abuja-6PKDG</t>
  </si>
  <si>
    <t>Newly Built And Very Sharp 1 Bedroom Apartment</t>
  </si>
  <si>
    <t>1PHFY</t>
  </si>
  <si>
    <t>https://www.propertypro.ng/property/1-bedroom-house-for-rent-pyakasa-lugbe-lugbe-abuja-1PHFY</t>
  </si>
  <si>
    <t>Sharp 3 Bedroom Bungalow</t>
  </si>
  <si>
    <t>4PJJT</t>
  </si>
  <si>
    <t>https://www.propertypro.ng/property/3-bedroom-house-for-rent-von-garden-estate-lugbe-abuja-4PJJT</t>
  </si>
  <si>
    <t>9PKZN</t>
  </si>
  <si>
    <t>https://www.propertypro.ng/property/2-bedroom-house-for-rent-pyakasa-lugbe-lugbe-abuja-9PKZN</t>
  </si>
  <si>
    <t>Kapua Lugbe Abuja</t>
  </si>
  <si>
    <t>6PKHK</t>
  </si>
  <si>
    <t>https://www.propertypro.ng/property/3-bedroom-house-for-rent-kapua-lugbe-abuja-6PKHK</t>
  </si>
  <si>
    <t>Newly Built 4 Bedroom Fully Detached Duplex</t>
  </si>
  <si>
    <t>Along Von Garden Estate Road, Lugbe Abuja</t>
  </si>
  <si>
    <t>5PKDJ</t>
  </si>
  <si>
    <t>https://www.propertypro.ng/property/4-bedroom-house-for-rent-along-von-garden-estate-road-lugbe-abuja-5PKDJ</t>
  </si>
  <si>
    <t>Standard 3 Bedroom Semi Detached Duplex</t>
  </si>
  <si>
    <t>2PKYY</t>
  </si>
  <si>
    <t>https://www.propertypro.ng/property/3-bedroom-house-for-rent-river-park-estate-lugbe-abuja-2PKYY</t>
  </si>
  <si>
    <t>Sharp 2 Bedroom Semi Detached Bungalow</t>
  </si>
  <si>
    <t>Lugbe Airport Road Lugbe Abuja</t>
  </si>
  <si>
    <t>1PJRP</t>
  </si>
  <si>
    <t>https://www.propertypro.ng/property/2-bedroom-house-for-rent-lugbe-airport-road-lugbe-abuja-1PJRP</t>
  </si>
  <si>
    <t>Serviced 3 Bedroom Terrace Duplex With Bq</t>
  </si>
  <si>
    <t>0PHZZ</t>
  </si>
  <si>
    <t>https://www.propertypro.ng/property/3-bedroom-house-for-rent-jabi-abuja-0PHZZ</t>
  </si>
  <si>
    <t>By Airport Jabi Abuja</t>
  </si>
  <si>
    <t>7PESD</t>
  </si>
  <si>
    <t>https://www.propertypro.ng/property/2-bedroom-house-for-rent-by-airport-jabi-abuja-7PESD</t>
  </si>
  <si>
    <t>3 Bedrooms Terrace Duplex With Bq</t>
  </si>
  <si>
    <t>Jabi Jabi Abuja</t>
  </si>
  <si>
    <t>5PLEY</t>
  </si>
  <si>
    <t>https://www.propertypro.ng/property/3-bedroom-house-for-rent-jabi-jabi-abuja-5PLEY</t>
  </si>
  <si>
    <t>4PKXE</t>
  </si>
  <si>
    <t>https://www.propertypro.ng/property/3-bedroom-flat-apartment-for-rent-jabi-jabi-abuja-4PKXE</t>
  </si>
  <si>
    <t>Brand New 4 Bedroom Detached Duplex With 1 Bq</t>
  </si>
  <si>
    <t>Jabi District Abuja Diplomatic Zone, Jabi Abuja</t>
  </si>
  <si>
    <t>7NZEP</t>
  </si>
  <si>
    <t>https://www.propertypro.ng/property/4-bedroom-house-for-rent-jabi-district-abuja-diplomatic-zone-jabi-abuja-7NZEP</t>
  </si>
  <si>
    <t>Jabi , Abuja Jabi Abuja</t>
  </si>
  <si>
    <t>3PJSD</t>
  </si>
  <si>
    <t>https://www.propertypro.ng/property/2-bedroom-flat-apartment-for-rent-jabi-abuja-jabi-abuja-3PJSD</t>
  </si>
  <si>
    <t>8PKNC</t>
  </si>
  <si>
    <t>https://www.propertypro.ng/property/4-bedroom-house-for-rent-jabi-abuja-jabi-abuja-8PKNC</t>
  </si>
  <si>
    <t>5 Bedroom Semi Detached Duplex</t>
  </si>
  <si>
    <t>Jabi Main, Jabi Abuja</t>
  </si>
  <si>
    <t>3PDXS</t>
  </si>
  <si>
    <t>https://www.propertypro.ng/property/5-bedroom-house-for-rent-jabi-main-jabi-abuja-3PDXS</t>
  </si>
  <si>
    <t>6PFHN</t>
  </si>
  <si>
    <t>https://www.propertypro.ng/property/4-bedroom-house-for-rent-jabi-main-jabi-abuja-6PFHN</t>
  </si>
  <si>
    <t>Jabi Before Citec, Jabi Abuja</t>
  </si>
  <si>
    <t>0PERK</t>
  </si>
  <si>
    <t>https://www.propertypro.ng/property/2-bedroom-flat-apartment-for-rent-jabi-before-citec-jabi-abuja-0PERK</t>
  </si>
  <si>
    <t>Before Citec, Jabi Abuja</t>
  </si>
  <si>
    <t>4PESF</t>
  </si>
  <si>
    <t>https://www.propertypro.ng/property/2-bedroom-flat-apartment-for-rent-before-citec-jabi-abuja-4PESF</t>
  </si>
  <si>
    <t>Furnished 4 Bedroom Semi Detached Duplex</t>
  </si>
  <si>
    <t>8PEZU</t>
  </si>
  <si>
    <t>https://www.propertypro.ng/property/4-bedroom-house-for-rent-jabi-abuja-8PEZU</t>
  </si>
  <si>
    <t>Big Self Contain ( 2years Rent Required)</t>
  </si>
  <si>
    <t>Katampe Extension, Abuja Katampe Abuja</t>
  </si>
  <si>
    <t>7PMFU</t>
  </si>
  <si>
    <t>https://www.propertypro.ng/property/1-bedroom-flat-apartment-for-rent-katampe-extension-abuja-katampe-abuja-7PMFU</t>
  </si>
  <si>
    <t>4 Bedroom Terraced Duplex With 2 Bq</t>
  </si>
  <si>
    <t>0PGSJ</t>
  </si>
  <si>
    <t>https://www.propertypro.ng/property/4-bedroom-house-for-rent-katampe-extention-diplomatic-zone-katampe-extension-katampe-abuja-0PGSJ</t>
  </si>
  <si>
    <t>Diplomatic Zone Katampe Extension Katampe Abuja</t>
  </si>
  <si>
    <t>8PFBC</t>
  </si>
  <si>
    <t>https://www.propertypro.ng/property/6-bedroom-house-for-rent-diplomatic-zone-katampe-extension-katampe-abuja-8PFBC</t>
  </si>
  <si>
    <t>A Good Spacious 2 Bedroom Flat</t>
  </si>
  <si>
    <t>Diplomatic Zone. (video Of The Apartment Is Available) Katampe Extension Katampe Abuja</t>
  </si>
  <si>
    <t>9PHTE</t>
  </si>
  <si>
    <t>https://www.propertypro.ng/property/2-bedroom-flat-apartment-for-rent-diplomatic-zone-video-of-the-apartment-is-available-katampe-extension-katampe-abuja-9PHTE</t>
  </si>
  <si>
    <t>A Good Spacious 4 Bedroom Terrace Duplex + 1bq</t>
  </si>
  <si>
    <t>Diplomatic Zone. Katampe Extension Katampe Abuja</t>
  </si>
  <si>
    <t>1PKHS</t>
  </si>
  <si>
    <t>https://www.propertypro.ng/property/4-bedroom-house-for-rent-diplomatic-zone-katampe-extension-katampe-abuja-1PKHS</t>
  </si>
  <si>
    <t>Well Built 4 Bedroom Semi Detached Duplex</t>
  </si>
  <si>
    <t>Diplomatic Zone, Katampe Extension Katampe Abuja</t>
  </si>
  <si>
    <t>5PGTP</t>
  </si>
  <si>
    <t>https://www.propertypro.ng/property/4-bedroom-house-for-rent-diplomatic-zone-katampe-extension-katampe-abuja-5PGTP</t>
  </si>
  <si>
    <t>A Furnished &amp; Serviced 4 Bedroom Terrace Duplex + 1bq</t>
  </si>
  <si>
    <t>3PLRL</t>
  </si>
  <si>
    <t>https://www.propertypro.ng/property/4-bedroom-house-for-rent-diplomatic-zone-katampe-extension-katampe-abuja-3PLRL</t>
  </si>
  <si>
    <t>6 Bedroom Terraced Duplex With 1 Bq</t>
  </si>
  <si>
    <t>1PGTQ</t>
  </si>
  <si>
    <t>https://www.propertypro.ng/property/6-bedroom-house-for-rent-diplomatic-zone-katampe-extension-katampe-abuja-1PGTQ</t>
  </si>
  <si>
    <t>Katampe Main Katampe Abuja</t>
  </si>
  <si>
    <t>3PGJR</t>
  </si>
  <si>
    <t>https://www.propertypro.ng/property/3-bedroom-flat-apartment-for-rent-katampe-main-katampe-abuja-3PGJR</t>
  </si>
  <si>
    <t>Executive 2bedroom Flat Apartment, At Katampe</t>
  </si>
  <si>
    <t>5PJCU</t>
  </si>
  <si>
    <t>https://www.propertypro.ng/property/2-bedroom-house-for-rent-katampe-main-katampe-abuja-5PJCU</t>
  </si>
  <si>
    <t>Serviced 4 Bedroom Terrace Duplex With Bq</t>
  </si>
  <si>
    <t>Katempe Extension Katampe Extension Katampe Abuja</t>
  </si>
  <si>
    <t>1PKLW</t>
  </si>
  <si>
    <t>https://www.propertypro.ng/property/4-bedroom-house-for-rent-katempe-extension-katampe-extension-katampe-abuja-1PKLW</t>
  </si>
  <si>
    <t>Brand New Fully Detached 7 Bedroom Duplex With Bq</t>
  </si>
  <si>
    <t>3PHHE</t>
  </si>
  <si>
    <t>https://www.propertypro.ng/property/7-bedroom-house-for-rent-katampe-extension-katampe-abuja-3PHHE</t>
  </si>
  <si>
    <t>Luxurious 5 Bedroom Semi Detached Duplex</t>
  </si>
  <si>
    <t>3PJSK</t>
  </si>
  <si>
    <t>https://www.propertypro.ng/property/5-bedroom-house-for-rent-katampe-extension-katampe-abuja-3PJSK</t>
  </si>
  <si>
    <t>By Maitama, Katampe Abuja</t>
  </si>
  <si>
    <t>1PDNL</t>
  </si>
  <si>
    <t>https://www.propertypro.ng/property/2-bedroom-flat-apartment-for-rent-by-maitama-katampe-abuja-1PDNL</t>
  </si>
  <si>
    <t>Newly Built 6 Bedroom Fully Detached Duplex With Bq</t>
  </si>
  <si>
    <t>Katampe Extension, Katampe Abuja</t>
  </si>
  <si>
    <t>0PFAP</t>
  </si>
  <si>
    <t>https://www.propertypro.ng/property/6-bedroom-house-for-rent-katampe-extension-katampe-abuja-0PFAP</t>
  </si>
  <si>
    <t>1PHFQ</t>
  </si>
  <si>
    <t>https://www.propertypro.ng/property/2-bedroom-flat-apartment-for-rent-by-maitama-katampe-abuja-1PHFQ</t>
  </si>
  <si>
    <t>Newly Built 5 Bedroom Semi Detached Duplex With Bq</t>
  </si>
  <si>
    <t>7PJUD</t>
  </si>
  <si>
    <t>https://www.propertypro.ng/property/5-bedroom-house-for-rent-katampe-extension-katampe-abuja-7PJUD</t>
  </si>
  <si>
    <t>Luxury 5 Bedroom Terrace Duplex With Bq</t>
  </si>
  <si>
    <t>4PLJH</t>
  </si>
  <si>
    <t>https://www.propertypro.ng/property/5-bedroom-house-for-rent-katampe-extension-katampe-abuja-4PLJH</t>
  </si>
  <si>
    <t>One Bedroom Flat (to Be Furnished &amp; 24hrs Light)</t>
  </si>
  <si>
    <t>Camp</t>
  </si>
  <si>
    <t>Life Camp By Stella Maris School, Life Camp Abuja Life Camp Abuja</t>
  </si>
  <si>
    <t>4PMFD</t>
  </si>
  <si>
    <t>https://www.propertypro.ng/property/1-bedroom-flat-apartment-for-rent-life-camp-by-stella-maris-school-life-camp-abuja-life-camp-abuja-4PMFD</t>
  </si>
  <si>
    <t>Life Camp In A Secured And Serene Estate, Life Camp Abuja</t>
  </si>
  <si>
    <t>0NVTK</t>
  </si>
  <si>
    <t>https://www.propertypro.ng/property/4-bedroom-house-for-rent-life-camp-in-a-secured-and-serene-estate-life-camp-abuja-0NVTK</t>
  </si>
  <si>
    <t>8PGKN</t>
  </si>
  <si>
    <t>https://www.propertypro.ng/property/4-bedroom-house-for-rent-life-camp-abuja-8PGKN</t>
  </si>
  <si>
    <t>Spacious 4 Bedroom Terraced Duplex</t>
  </si>
  <si>
    <t>1PCPL</t>
  </si>
  <si>
    <t>https://www.propertypro.ng/property/4-bedroom-house-for-rent-life-camp-abuja-1PCPL</t>
  </si>
  <si>
    <t>5PCXF</t>
  </si>
  <si>
    <t>https://www.propertypro.ng/property/4-bedroom-house-for-rent-life-camp-abuja-5PCXF</t>
  </si>
  <si>
    <t>7PDGM</t>
  </si>
  <si>
    <t>https://www.propertypro.ng/property/4-bedroom-house-for-rent-life-camp-life-camp-abuja-7PDGM</t>
  </si>
  <si>
    <t>Newly Built 4 Bedroom Terraced Duplex</t>
  </si>
  <si>
    <t>8PBMP</t>
  </si>
  <si>
    <t>https://www.propertypro.ng/property/4-bedroom-house-for-rent-life-camp-abuja-8PBMP</t>
  </si>
  <si>
    <t>8PDGN</t>
  </si>
  <si>
    <t>https://www.propertypro.ng/property/4-bedroom-house-for-rent-life-camp-life-camp-abuja-8PDGN</t>
  </si>
  <si>
    <t>4PGLP</t>
  </si>
  <si>
    <t>https://www.propertypro.ng/property/5-bedroom-house-for-rent-life-camp-abuja-4PGLP</t>
  </si>
  <si>
    <t>Cornerpeice Life Camp Abuja</t>
  </si>
  <si>
    <t>0NSRU</t>
  </si>
  <si>
    <t>https://www.propertypro.ng/property/4-bedroom-house-for-rent-cornerpeice-life-camp-abuja-0NSRU</t>
  </si>
  <si>
    <t>Massive 4bedroom Duplex With Bq ( Self Compound)</t>
  </si>
  <si>
    <t>Cannan Estate, Life Camp, Abuja Life Camp Abuja</t>
  </si>
  <si>
    <t>1PLQX</t>
  </si>
  <si>
    <t>https://www.propertypro.ng/property/4-bedroom-house-for-rent-cannan-estate-life-camp-abuja-life-camp-abuja-1PLQX</t>
  </si>
  <si>
    <t>Furnished 2 Bedroom Flat</t>
  </si>
  <si>
    <t>By Stella Maris School, Life Camp Abuja</t>
  </si>
  <si>
    <t>3PJPD</t>
  </si>
  <si>
    <t>https://www.propertypro.ng/property/2-bedroom-flat-apartment-for-rent-by-stella-maris-school-life-camp-abuja-3PJPD</t>
  </si>
  <si>
    <t>A Well Built Spacious 2 Bedroom Flat</t>
  </si>
  <si>
    <t>Lifecamp District Abuja. Life Camp Abuja</t>
  </si>
  <si>
    <t>7PLXP</t>
  </si>
  <si>
    <t>https://www.propertypro.ng/property/2-bedroom-flat-apartment-for-rent-lifecamp-district-abuja-life-camp-abuja-7PLXP</t>
  </si>
  <si>
    <t>A Brand New Spacious 3 Bedroom Flat</t>
  </si>
  <si>
    <t>Lifecamp District Abuja Life Camp Abuja</t>
  </si>
  <si>
    <t>0PLMG</t>
  </si>
  <si>
    <t>https://www.propertypro.ng/property/3-bedroom-flat-apartment-for-rent-lifecamp-district-abuja-life-camp-abuja-0PLMG</t>
  </si>
  <si>
    <t>A Well Built Spacious 4 Bedroom Terrace Duplex + 1bq</t>
  </si>
  <si>
    <t>0PLXR</t>
  </si>
  <si>
    <t>https://www.propertypro.ng/property/4-bedroom-house-for-rent-lifecamp-district-abuja-life-camp-abuja-0PLXR</t>
  </si>
  <si>
    <t>Spacious 4 Bedroom Terraced Duplex With 1 Bq</t>
  </si>
  <si>
    <t>After The Magistrate Court, Life Camp Abuja</t>
  </si>
  <si>
    <t>1PHPF</t>
  </si>
  <si>
    <t>https://www.propertypro.ng/property/4-bedroom-house-for-rent-after-the-magistrate-court-life-camp-abuja-1PHPF</t>
  </si>
  <si>
    <t>A Good Spacious 4 Bedroom Semi Detached Duplex</t>
  </si>
  <si>
    <t>5PJZD</t>
  </si>
  <si>
    <t>https://www.propertypro.ng/property/4-bedroom-house-for-rent-lifecamp-district-abuja-life-camp-abuja-5PJZD</t>
  </si>
  <si>
    <t>By Brains And Hammers Estate Apo Abuja</t>
  </si>
  <si>
    <t>2PLHY</t>
  </si>
  <si>
    <t>https://www.propertypro.ng/property/4-bedroom-house-for-rent-by-brains-and-hammers-estate-apo-abuja-2PLHY</t>
  </si>
  <si>
    <t>Rockvale Manors Estate Apo Abuja</t>
  </si>
  <si>
    <t>2PGWY</t>
  </si>
  <si>
    <t>https://www.propertypro.ng/property/3-bedroom-house-for-rent-rockvale-manors-estate-apo-abuja-2PGWY</t>
  </si>
  <si>
    <t>Inside An Estate Apo Resettlement Apo Abuja</t>
  </si>
  <si>
    <t>6PEYH</t>
  </si>
  <si>
    <t>https://www.propertypro.ng/property/2-bedroom-flat-apartment-for-rent-inside-an-estate-apo-resettlement-apo-abuja-6PEYH</t>
  </si>
  <si>
    <t>4 Bedroom Terraced Duplex With 1 Bq</t>
  </si>
  <si>
    <t>Apo By Gudu Junction, By Ceadercrest Hospital Apo Abuja</t>
  </si>
  <si>
    <t>5PHJA</t>
  </si>
  <si>
    <t>https://www.propertypro.ng/property/4-bedroom-house-for-rent-apo-by-gudu-junction-by-ceadercrest-hospital-apo-abuja-5PHJA</t>
  </si>
  <si>
    <t>Spacious 4 Bedroom Terrace Duplex With Bq</t>
  </si>
  <si>
    <t>Apo Gudu District,( By Cedarcrest Hospital) Apo Abuja</t>
  </si>
  <si>
    <t>3PJEL</t>
  </si>
  <si>
    <t>https://www.propertypro.ng/property/4-bedroom-house-for-rent-apo-gudu-district-by-cedarcrest-hospital-apo-abuja-3PJEL</t>
  </si>
  <si>
    <t>Luxury Finished 3 Bedroom Flat</t>
  </si>
  <si>
    <t>Apo Apo Abuja</t>
  </si>
  <si>
    <t>4PJZZ</t>
  </si>
  <si>
    <t>https://www.propertypro.ng/property/3-bedroom-flat-apartment-for-rent-apo-apo-abuja-4PJZZ</t>
  </si>
  <si>
    <t>1 Bedroom Bungalow 2 Toilets</t>
  </si>
  <si>
    <t>1PLKY</t>
  </si>
  <si>
    <t>https://www.propertypro.ng/property/1-bedroom-flat-apartment-for-rent-apo-resettlement-apo-abuja-1PLKY</t>
  </si>
  <si>
    <t>Apo Resettlement Zone E Extension Tarred Road Apo Abuja</t>
  </si>
  <si>
    <t>1PDEU</t>
  </si>
  <si>
    <t>https://www.propertypro.ng/property/2-bedroom-flat-apartment-for-rent-apo-resettlement-zone-e-extension-tarred-road-apo-abuja-1PDEU</t>
  </si>
  <si>
    <t>Premium 4 Bedroom Serviced Apartment</t>
  </si>
  <si>
    <t>Apo Legislative Quarters Zone E , 1 Abba Kyari Close, Zone B Apo Abuja</t>
  </si>
  <si>
    <t>3PHJU</t>
  </si>
  <si>
    <t>https://www.propertypro.ng/property/4-bedroom-flat-apartment-for-rent-apo-legislative-quarters-zone-e-1-abba-kyari-close-zone-b-apo-abuja-3PHJU</t>
  </si>
  <si>
    <t>5PHJS</t>
  </si>
  <si>
    <t>https://www.propertypro.ng/property/4-bedroom-flat-apartment-for-rent-apo-legislative-quarters-zone-e-1-abba-kyari-close-zone-b-apo-abuja-5PHJS</t>
  </si>
  <si>
    <t>9PFNW</t>
  </si>
  <si>
    <t>https://www.propertypro.ng/property/3-bedroom-house-for-rent-apo-abuja-9PFNW</t>
  </si>
  <si>
    <t>Decent Self Contain</t>
  </si>
  <si>
    <t>Apo Legislative Quarters Apo Abuja</t>
  </si>
  <si>
    <t>8PGYS</t>
  </si>
  <si>
    <t>https://www.propertypro.ng/property/1-bedroom-flat-apartment-for-rent-apo-legislative-quarters-apo-abuja-8PGYS</t>
  </si>
  <si>
    <t>Legislative Quarters, Apo Abuja</t>
  </si>
  <si>
    <t>6PGYQ</t>
  </si>
  <si>
    <t>https://www.propertypro.ng/property/3-bedroom-flat-apartment-for-rent-legislative-quarters-apo-abuja-6PGYQ</t>
  </si>
  <si>
    <t>Zone A, Apo Resettlement Apo Abuja</t>
  </si>
  <si>
    <t>0PGQD</t>
  </si>
  <si>
    <t>https://www.propertypro.ng/property/3-bedroom-house-for-rent-zone-a-apo-resettlement-apo-abuja-0PGQD</t>
  </si>
  <si>
    <t>2 Bedroom Duplex</t>
  </si>
  <si>
    <t>Apo Resettlement, Apo Abuja</t>
  </si>
  <si>
    <t>3PEYY</t>
  </si>
  <si>
    <t>https://www.propertypro.ng/property/2-bedroom-house-for-rent-apo-resettlement-apo-abuja-3PEYY</t>
  </si>
  <si>
    <t>Big 3 Bedroom Flat</t>
  </si>
  <si>
    <t>Apo By Christland School, Apo Abuja</t>
  </si>
  <si>
    <t>8PENF</t>
  </si>
  <si>
    <t>https://www.propertypro.ng/property/3-bedroom-flat-apartment-for-rent-apo-by-christland-school-apo-abuja-8PENF</t>
  </si>
  <si>
    <t>Apo Gudu By Ibeto Hotel, Gudu, Abuja Apo Abuja</t>
  </si>
  <si>
    <t>3PENJ</t>
  </si>
  <si>
    <t>https://www.propertypro.ng/property/2-bedroom-flat-apartment-for-rent-apo-gudu-by-ibeto-hotel-gudu-abuja-apo-abuja-3PENJ</t>
  </si>
  <si>
    <t>9PJXL</t>
  </si>
  <si>
    <t>https://www.propertypro.ng/property/3-bedroom-flat-apartment-for-rent-apo-resettlement-apo-abuja-9PJXL</t>
  </si>
  <si>
    <t>Apo Gudu District By Ceadercrest Hospital Apo Abuja</t>
  </si>
  <si>
    <t>8NVGT</t>
  </si>
  <si>
    <t>https://www.propertypro.ng/property/4-bedroom-house-for-rent-apo-gudu-district-by-ceadercrest-hospital-apo-abuja-8NVGT</t>
  </si>
  <si>
    <t>Apo Resettlement Abuja. ( Video Of The House Is Attached) Apo Resettlement Apo Abuja</t>
  </si>
  <si>
    <t>2PEVU</t>
  </si>
  <si>
    <t>https://www.propertypro.ng/property/2-bedroom-flat-apartment-for-rent-apo-resettlement-abuja-video-of-the-house-is-attached-apo-resettlement-apo-abuja-2PEVU</t>
  </si>
  <si>
    <t>A Fully Furnished 3 Bedroom Terrace</t>
  </si>
  <si>
    <t>Gwarimpa Extension Karsana Abuja</t>
  </si>
  <si>
    <t>7PKYU</t>
  </si>
  <si>
    <t>https://www.propertypro.ng/property/3-bedroom-house-for-rent-gwarimpa-extension-karsana-abuja-7PKYU</t>
  </si>
  <si>
    <t>6PKYU</t>
  </si>
  <si>
    <t>https://www.propertypro.ng/property/3-bedroom-house-for-rent-gwarimpa-extension-karsana-abuja-6PKYU</t>
  </si>
  <si>
    <t>5PKYU</t>
  </si>
  <si>
    <t>https://www.propertypro.ng/property/3-bedroom-house-for-rent-gwarimpa-extension-karsana-abuja-5PKYU</t>
  </si>
  <si>
    <t>Magnificently Finished 3 Bedroom Bungalow</t>
  </si>
  <si>
    <t>Gwarinpa Extension Karsana Abuja</t>
  </si>
  <si>
    <t>7PEYZ</t>
  </si>
  <si>
    <t>https://www.propertypro.ng/property/3-bedroom-house-for-rent-gwarinpa-extension-karsana-abuja-7PEYZ</t>
  </si>
  <si>
    <t>Amazing 4 Bedroom Bungalow</t>
  </si>
  <si>
    <t>Efab Queens Karsana Karsana Abuja</t>
  </si>
  <si>
    <t>0PKAG</t>
  </si>
  <si>
    <t>https://www.propertypro.ng/property/4-bedroom-house-for-rent-efab-queens-karsana-karsana-abuja-0PKAG</t>
  </si>
  <si>
    <t>2 Bedroom Terrace Duplex With Bq</t>
  </si>
  <si>
    <t>7PJAQ</t>
  </si>
  <si>
    <t>https://www.propertypro.ng/property/2-bedroom-house-for-rent-lokogoma-abuja-7PJAQ</t>
  </si>
  <si>
    <t>Very Spacious One Bedroom</t>
  </si>
  <si>
    <t>In An Estate At Dakwo District Lokogoma Abuja</t>
  </si>
  <si>
    <t>3PKJW</t>
  </si>
  <si>
    <t>https://www.propertypro.ng/property/1-bedroom-flat-apartment-for-rent-in-an-estate-at-dakwo-district-lokogoma-abuja-3PKJW</t>
  </si>
  <si>
    <t>A New 6 Bedroom Fully Detached Duplex + Bq</t>
  </si>
  <si>
    <t>In Serene &amp; Secured Estate. Video Is Available. Lokogoma Abuja</t>
  </si>
  <si>
    <t>5PKSP</t>
  </si>
  <si>
    <t>https://www.propertypro.ng/property/6-bedroom-house-for-rent-in-serene-secured-estate-video-is-available-lokogoma-abuja-5PKSP</t>
  </si>
  <si>
    <t>3 Bedroom Semi Detached Bungalow</t>
  </si>
  <si>
    <t>Sunnyvale Estate, Lokogoma Abuja</t>
  </si>
  <si>
    <t>3PHZY</t>
  </si>
  <si>
    <t>https://www.propertypro.ng/property/3-bedroom-house-for-rent-sunnyvale-estate-lokogoma-abuja-3PHZY</t>
  </si>
  <si>
    <t>A Newly Built 4 Bedroom Semi Detached Duplex</t>
  </si>
  <si>
    <t>Lokogoma District Abuja. Lokogoma Abuja</t>
  </si>
  <si>
    <t>6PJRD</t>
  </si>
  <si>
    <t>https://www.propertypro.ng/property/4-bedroom-house-for-rent-lokogoma-district-abuja-lokogoma-abuja-6PJRD</t>
  </si>
  <si>
    <t>2bedroom Flat To Let Near Jubilation Bethel</t>
  </si>
  <si>
    <t>Pengasson Estate Lokogoma Abuja</t>
  </si>
  <si>
    <t>2PHVY</t>
  </si>
  <si>
    <t>https://www.propertypro.ng/property/2-bedroom-flat-apartment-for-rent-pengasson-estate-lokogoma-abuja-2PHVY</t>
  </si>
  <si>
    <t>3PERY</t>
  </si>
  <si>
    <t>https://www.propertypro.ng/property/3-bedroom-house-for-rent-lokogoma-abuja-3PERY</t>
  </si>
  <si>
    <t>5PHMV</t>
  </si>
  <si>
    <t>https://www.propertypro.ng/property/2-bedroom-house-for-rent-lokogoma-abuja-5PHMV</t>
  </si>
  <si>
    <t>3 Bedroom Detached Bungalow</t>
  </si>
  <si>
    <t>2PHUZ</t>
  </si>
  <si>
    <t>https://www.propertypro.ng/property/3-bedroom-house-for-rent-lokogoma-abuja-2PHUZ</t>
  </si>
  <si>
    <t>Self Contain</t>
  </si>
  <si>
    <t>Lokogoma Village, By Lokogoma Express, Abuja Lokogoma Abuja</t>
  </si>
  <si>
    <t>3PHHM</t>
  </si>
  <si>
    <t>https://www.propertypro.ng/property/1-bedroom-flat-apartment-for-rent-lokogoma-village-by-lokogoma-express-abuja-lokogoma-abuja-3PHHM</t>
  </si>
  <si>
    <t>3 Bedroom Terrace Duplex With Bq</t>
  </si>
  <si>
    <t>5PGKK</t>
  </si>
  <si>
    <t>https://www.propertypro.ng/property/3-bedroom-house-for-rent-lokogoma-abuja-5PGKK</t>
  </si>
  <si>
    <t>By Lokogoma Express, Lokogoma Abuja</t>
  </si>
  <si>
    <t>4PEFA</t>
  </si>
  <si>
    <t>https://www.propertypro.ng/property/4-bedroom-house-for-rent-by-lokogoma-express-lokogoma-abuja-4PEFA</t>
  </si>
  <si>
    <t>2PHKX</t>
  </si>
  <si>
    <t>https://www.propertypro.ng/property/1-bedroom-flat-apartment-for-rent-lokogoma-abuja-2PHKX</t>
  </si>
  <si>
    <t>Lokogoma Dakwo Road, Lokogoma, Abuja Lokogoma Abuja</t>
  </si>
  <si>
    <t>1PEVZ</t>
  </si>
  <si>
    <t>https://www.propertypro.ng/property/2-bedroom-flat-apartment-for-rent-lokogoma-dakwo-road-lokogoma-abuja-lokogoma-abuja-1PEVZ</t>
  </si>
  <si>
    <t>Estate Close To Lokogoma Junction Lokogoma Abuja</t>
  </si>
  <si>
    <t>6PEHV</t>
  </si>
  <si>
    <t>https://www.propertypro.ng/property/2-bedroom-flat-apartment-for-rent-estate-close-to-lokogoma-junction-lokogoma-abuja-6PEHV</t>
  </si>
  <si>
    <t>4 Bedroom Fully Detached Bungalow</t>
  </si>
  <si>
    <t>2PEWQ</t>
  </si>
  <si>
    <t>https://www.propertypro.ng/property/4-bedroom-house-for-rent-lokogoma-abuja-2PEWQ</t>
  </si>
  <si>
    <t>3 Bedroom With Maid Room</t>
  </si>
  <si>
    <t>Sunnyvale Estate Lokogoma Abuja</t>
  </si>
  <si>
    <t>1PFSZ</t>
  </si>
  <si>
    <t>https://www.propertypro.ng/property/3-bedroom-house-for-rent-sunnyvale-estate-lokogoma-abuja-1PFSZ</t>
  </si>
  <si>
    <t>Decent 3bedroom Bungalow (self Compound)</t>
  </si>
  <si>
    <t>By Sunnyvale, Galadimawa, Abuja Galadimawa Abuja</t>
  </si>
  <si>
    <t>3PLUY</t>
  </si>
  <si>
    <t>https://www.propertypro.ng/property/3-bedroom-house-for-rent-by-sunnyvale-galadimawa-abuja-galadimawa-abuja-3PLUY</t>
  </si>
  <si>
    <t>Standard 2 Bedroom</t>
  </si>
  <si>
    <t>Suncity Estate Galadimawa Abuja</t>
  </si>
  <si>
    <t>5PKPR</t>
  </si>
  <si>
    <t>https://www.propertypro.ng/property/2-bedroom-house-for-rent-suncity-estate-galadimawa-abuja-5PKPR</t>
  </si>
  <si>
    <t>Very Standard 2 Bedroom Flat</t>
  </si>
  <si>
    <t>Brooklyn Estate By Amsco Galadimawa Abuja</t>
  </si>
  <si>
    <t>8PKPR</t>
  </si>
  <si>
    <t>https://www.propertypro.ng/property/2-bedroom-flat-apartment-for-rent-brooklyn-estate-by-amsco-galadimawa-abuja-8PKPR</t>
  </si>
  <si>
    <t>2bedroom Flat To Let Behind Suncity Estate</t>
  </si>
  <si>
    <t>5PHVX</t>
  </si>
  <si>
    <t>https://www.propertypro.ng/property/2-bedroom-flat-apartment-for-rent-behind-suncity-estate-galadimawa-abuja-5PHVX</t>
  </si>
  <si>
    <t>2 Bedroom Flat To Let Near Shafa Station</t>
  </si>
  <si>
    <t>Near Ay Shafa, Galadimawa Abuja</t>
  </si>
  <si>
    <t>5PGVW</t>
  </si>
  <si>
    <t>https://www.propertypro.ng/property/2-bedroom-flat-apartment-for-rent-near-ay-shafa-galadimawa-abuja-5PGVW</t>
  </si>
  <si>
    <t>By Galadimawa Roundabout Galadimawa Abuja</t>
  </si>
  <si>
    <t>4NRBR</t>
  </si>
  <si>
    <t>https://www.propertypro.ng/property/4-bedroom-house-for-rent-by-galadimawa-roundabout-galadimawa-abuja-4NRBR</t>
  </si>
  <si>
    <t>0PFDA</t>
  </si>
  <si>
    <t>https://www.propertypro.ng/property/4-bedroom-house-for-rent-galadimawa-abuja-0PFDA</t>
  </si>
  <si>
    <t>Brand New 6 Bedrm Fully Detached Duplex Galadimawa</t>
  </si>
  <si>
    <t>Estate In Galadimawa Galadimawa Abuja</t>
  </si>
  <si>
    <t>1PKHN</t>
  </si>
  <si>
    <t>https://www.propertypro.ng/property/6-bedroom-house-for-rent-estate-in-galadimawa-galadimawa-abuja-1PKHN</t>
  </si>
  <si>
    <t>5PFUY</t>
  </si>
  <si>
    <t>https://www.propertypro.ng/property/3-bedroom-house-for-rent-galadimawa-abuja-5PFUY</t>
  </si>
  <si>
    <t>Fully Detached 4bedroom Duplex ( Tarred Road )</t>
  </si>
  <si>
    <t>Galadimawa, Abuja Galadimawa Abuja</t>
  </si>
  <si>
    <t>0PHHD</t>
  </si>
  <si>
    <t>https://www.propertypro.ng/property/4-bedroom-house-for-rent-galadimawa-abuja-galadimawa-abuja-0PHHD</t>
  </si>
  <si>
    <t>7PGQC</t>
  </si>
  <si>
    <t>https://www.propertypro.ng/property/4-bedroom-house-for-rent-galadimawa-abuja-7PGQC</t>
  </si>
  <si>
    <t>4PKNE</t>
  </si>
  <si>
    <t>https://www.propertypro.ng/property/2-bedroom-flat-apartment-for-rent-galadimawa-galadimawa-abuja-4PKNE</t>
  </si>
  <si>
    <t>Galadimawa, Estate Behind Sun City Galadimawa Abuja</t>
  </si>
  <si>
    <t>1PGDD</t>
  </si>
  <si>
    <t>https://www.propertypro.ng/property/2-bedroom-flat-apartment-for-rent-galadimawa-estate-behind-sun-city-galadimawa-abuja-1PGDD</t>
  </si>
  <si>
    <t>2PJXK</t>
  </si>
  <si>
    <t>https://www.propertypro.ng/property/3-bedroom-flat-apartment-for-rent-galadimawa-galadimawa-abuja-2PJXK</t>
  </si>
  <si>
    <t>3 Bedroom Flat To Let In An Estate Near Suncity</t>
  </si>
  <si>
    <t>Near Ay Shafa Filling Station Galadimawa Abuja</t>
  </si>
  <si>
    <t>4PFRT</t>
  </si>
  <si>
    <t>https://www.propertypro.ng/property/3-bedroom-flat-apartment-for-rent-near-ay-shafa-filling-station-galadimawa-abuja-4PFRT</t>
  </si>
  <si>
    <t>New 2 Bedroom Flat To Let After Shafa Station</t>
  </si>
  <si>
    <t>Near Aa Rano Filling Station Galadimawa Abuja</t>
  </si>
  <si>
    <t>4PGLV</t>
  </si>
  <si>
    <t>https://www.propertypro.ng/property/2-bedroom-flat-apartment-for-rent-near-aa-rano-filling-station-galadimawa-abuja-4PGLV</t>
  </si>
  <si>
    <t>1bedroom Flat With 2 Toilets To Let Near Shafa Station</t>
  </si>
  <si>
    <t>Near Shafa Station Galadimawa Abuja</t>
  </si>
  <si>
    <t>7PJWE</t>
  </si>
  <si>
    <t>https://www.propertypro.ng/property/1-bedroom-flat-apartment-for-rent-near-shafa-station-galadimawa-abuja-7PJWE</t>
  </si>
  <si>
    <t>For Rent 3bedroom Semi Detach Bungalow Penthouse</t>
  </si>
  <si>
    <t>Galadimawa District In An Estate. Abuja Nigeria. Galadimawa Abuja</t>
  </si>
  <si>
    <t>1PKRQ</t>
  </si>
  <si>
    <t>https://www.propertypro.ng/property/3-bedroom-house-for-rent-galadimawa-district-in-an-estate-abuja-nigeria-galadimawa-abuja-1PKRQ</t>
  </si>
  <si>
    <t>2NXEY</t>
  </si>
  <si>
    <t>https://www.propertypro.ng/property/4-bedroom-house-for-rent-kubwa-abuja-2NXEY</t>
  </si>
  <si>
    <t>0NXGU</t>
  </si>
  <si>
    <t>https://www.propertypro.ng/property/4-bedroom-house-for-rent-kubwa-abuja-0NXGU</t>
  </si>
  <si>
    <t>6PKTH</t>
  </si>
  <si>
    <t>https://www.propertypro.ng/property/2-bedroom-flat-apartment-for-rent-kubwa-abuja-kubwa-abuja-6PKTH</t>
  </si>
  <si>
    <t>Newly Built 2 Bedroom Semi Detached Duplex</t>
  </si>
  <si>
    <t>2PEBY</t>
  </si>
  <si>
    <t>https://www.propertypro.ng/property/2-bedroom-house-for-rent-kubwa-abuja-2PEBY</t>
  </si>
  <si>
    <t>Standard 2 Bedroom Flat</t>
  </si>
  <si>
    <t>Fcda Kubwa Abuja</t>
  </si>
  <si>
    <t>3PKCT</t>
  </si>
  <si>
    <t>https://www.propertypro.ng/property/2-bedroom-flat-apartment-for-rent-fcda-kubwa-abuja-3PKCT</t>
  </si>
  <si>
    <t>F14 District , Phase 4 Kubwa Abuja</t>
  </si>
  <si>
    <t>8PHFE</t>
  </si>
  <si>
    <t>https://www.propertypro.ng/property/2-bedroom-flat-apartment-for-rent-f14-district-phase-4-kubwa-abuja-8PHFE</t>
  </si>
  <si>
    <t>Phase 2 Site 2, Kubwa Abuja</t>
  </si>
  <si>
    <t>5PGVR</t>
  </si>
  <si>
    <t>https://www.propertypro.ng/property/2-bedroom-house-for-rent-phase-2-site-2-kubwa-abuja-5PGVR</t>
  </si>
  <si>
    <t>3 Bedroom Bungalow Inside Estate</t>
  </si>
  <si>
    <t>6PKQF</t>
  </si>
  <si>
    <t>https://www.propertypro.ng/property/3-bedroom-house-for-rent-fcda-kubwa-abuja-6PKQF</t>
  </si>
  <si>
    <t>F14 District Kubwa Abuja</t>
  </si>
  <si>
    <t>3PHRT</t>
  </si>
  <si>
    <t>https://www.propertypro.ng/property/1-bedroom-flat-apartment-for-rent-f14-district-kubwa-abuja-3PHRT</t>
  </si>
  <si>
    <t>Nepa Road Kubwa Abuja</t>
  </si>
  <si>
    <t>0PJPZ</t>
  </si>
  <si>
    <t>https://www.propertypro.ng/property/3-bedroom-flat-apartment-for-rent-nepa-road-kubwa-abuja-0PJPZ</t>
  </si>
  <si>
    <t>0PLEG</t>
  </si>
  <si>
    <t>https://www.propertypro.ng/property/2-bedroom-flat-apartment-for-rent-f14-district-kubwa-abuja-0PLEG</t>
  </si>
  <si>
    <t>Phase 4 Kubwa Abuja</t>
  </si>
  <si>
    <t>9PKMB</t>
  </si>
  <si>
    <t>https://www.propertypro.ng/property/3-bedroom-flat-apartment-for-rent-phase-4-kubwa-abuja-9PKMB</t>
  </si>
  <si>
    <t>7PHRY</t>
  </si>
  <si>
    <t>https://www.propertypro.ng/property/2-bedroom-flat-apartment-for-rent-f14-district-kubwa-abuja-7PHRY</t>
  </si>
  <si>
    <t>8PKQF</t>
  </si>
  <si>
    <t>https://www.propertypro.ng/property/3-bedroom-house-for-rent-fcda-kubwa-abuja-8PKQF</t>
  </si>
  <si>
    <t>F14 District Close To Dantata Estate Kubwa Abuja</t>
  </si>
  <si>
    <t>8PHEP</t>
  </si>
  <si>
    <t>https://www.propertypro.ng/property/2-bedroom-flat-apartment-for-rent-f14-district-close-to-dantata-estate-kubwa-abuja-8PHEP</t>
  </si>
  <si>
    <t>Newly Built 2 Bedroom Terrace Duplex</t>
  </si>
  <si>
    <t>Phase 4, F14 District Kubwa Abuja</t>
  </si>
  <si>
    <t>8PLDG</t>
  </si>
  <si>
    <t>https://www.propertypro.ng/property/2-bedroom-house-for-rent-phase-4-f14-district-kubwa-abuja-8PLDG</t>
  </si>
  <si>
    <t>Newly Built 5 Bedroom Duplex</t>
  </si>
  <si>
    <t>Military Pension Board Fo1 Layout Kubwa Abuja</t>
  </si>
  <si>
    <t>6PGCP</t>
  </si>
  <si>
    <t>https://www.propertypro.ng/property/5-bedroom-house-for-rent-military-pension-board-fo1-layout-kubwa-abuja-6PGCP</t>
  </si>
  <si>
    <t>3PGCG</t>
  </si>
  <si>
    <t>https://www.propertypro.ng/property/2-bedroom-house-for-rent-dawaki-abuja-3PGCG</t>
  </si>
  <si>
    <t>1PGCF</t>
  </si>
  <si>
    <t>https://www.propertypro.ng/property/4-bedroom-house-for-rent-dawaki-abuja-1PGCF</t>
  </si>
  <si>
    <t>Dawaki By News Engineering, Dawaki, Abuja Dawaki Abuja</t>
  </si>
  <si>
    <t>7PHDF</t>
  </si>
  <si>
    <t>https://www.propertypro.ng/property/2-bedroom-flat-apartment-for-rent-dawaki-by-news-engineering-dawaki-abuja-dawaki-abuja-7PHDF</t>
  </si>
  <si>
    <t>Newly Built 3bedroom Flat</t>
  </si>
  <si>
    <t>Dawaki News Engineering, Dawaki, Abuja Dawaki Abuja</t>
  </si>
  <si>
    <t>3PLLS</t>
  </si>
  <si>
    <t>https://www.propertypro.ng/property/3-bedroom-flat-apartment-for-rent-dawaki-news-engineering-dawaki-abuja-dawaki-abuja-3PLLS</t>
  </si>
  <si>
    <t>Newly Built 2bedroom Flat (tarred Road)</t>
  </si>
  <si>
    <t>1PLVW</t>
  </si>
  <si>
    <t>https://www.propertypro.ng/property/2-bedroom-flat-apartment-for-rent-dawaki-by-news-engineering-dawaki-abuja-dawaki-abuja-1PLVW</t>
  </si>
  <si>
    <t>Dawaki Extension, Dawaki, Abuja Dawaki Abuja</t>
  </si>
  <si>
    <t>2PKMJ</t>
  </si>
  <si>
    <t>https://www.propertypro.ng/property/1-bedroom-flat-apartment-for-rent-dawaki-extension-dawaki-abuja-dawaki-abuja-2PKMJ</t>
  </si>
  <si>
    <t>0PFAT</t>
  </si>
  <si>
    <t>https://www.propertypro.ng/property/2-bedroom-flat-apartment-for-rent-by-modern-market-dawaki-abuja-0PFAT</t>
  </si>
  <si>
    <t>By News Engineering Dawaki, Abuja Dawaki Abuja</t>
  </si>
  <si>
    <t>2PDZU</t>
  </si>
  <si>
    <t>https://www.propertypro.ng/property/2-bedroom-flat-apartment-for-rent-by-news-engineering-dawaki-abuja-dawaki-abuja-2PDZU</t>
  </si>
  <si>
    <t>2PFCY</t>
  </si>
  <si>
    <t>https://www.propertypro.ng/property/2-bedroom-flat-apartment-for-rent-dawaki-by-news-engineering-dawaki-abuja-dawaki-abuja-2PFCY</t>
  </si>
  <si>
    <t>By News Engineering, Dawaki Abuja</t>
  </si>
  <si>
    <t>0PHEB</t>
  </si>
  <si>
    <t>https://www.propertypro.ng/property/2-bedroom-flat-apartment-for-rent-by-news-engineering-dawaki-abuja-0PHEB</t>
  </si>
  <si>
    <t>News Engineering, Dawaki Abuja</t>
  </si>
  <si>
    <t>2PEDH</t>
  </si>
  <si>
    <t>https://www.propertypro.ng/property/2-bedroom-flat-apartment-for-rent-news-engineering-dawaki-abuja-2PEDH</t>
  </si>
  <si>
    <t>Dawaki Abuja Dawaki Abuja</t>
  </si>
  <si>
    <t>3PFTY</t>
  </si>
  <si>
    <t>https://www.propertypro.ng/property/3-bedroom-flat-apartment-for-rent-dawaki-abuja-dawaki-abuja-3PFTY</t>
  </si>
  <si>
    <t>4PDGN</t>
  </si>
  <si>
    <t>https://www.propertypro.ng/property/2-bedroom-flat-apartment-for-rent-dawaki-news-engineering-dawaki-abuja-dawaki-abuja-4PDGN</t>
  </si>
  <si>
    <t>Brand New 3 Bedroom Apartment</t>
  </si>
  <si>
    <t>5PKWP</t>
  </si>
  <si>
    <t>https://www.propertypro.ng/property/3-bedroom-flat-apartment-for-rent-dawaki-abuja-5PKWP</t>
  </si>
  <si>
    <t>Beautiful 2 Bedroom Flat</t>
  </si>
  <si>
    <t>News Engineering Dawaki Abuja</t>
  </si>
  <si>
    <t>3PJJT</t>
  </si>
  <si>
    <t>https://www.propertypro.ng/property/2-bedroom-flat-apartment-for-rent-news-engineering-dawaki-abuja-3PJJT</t>
  </si>
  <si>
    <t>2 Bedroom Flat Ensuite</t>
  </si>
  <si>
    <t>By News Engineering Dawaki Abuja</t>
  </si>
  <si>
    <t>9PJQJ</t>
  </si>
  <si>
    <t>https://www.propertypro.ng/property/2-bedroom-house-for-rent-by-news-engineering-dawaki-abuja-9PJQJ</t>
  </si>
  <si>
    <t>8PEXQ</t>
  </si>
  <si>
    <t>https://www.propertypro.ng/property/2-bedroom-flat-apartment-for-rent-dawaki-abuja-8PEXQ</t>
  </si>
  <si>
    <t>6PFQH</t>
  </si>
  <si>
    <t>https://www.propertypro.ng/property/5-bedroom-house-for-rent-dawaki-abuja-6PFQH</t>
  </si>
  <si>
    <t>Newly Built 5 Bedroom Terrace Duplex</t>
  </si>
  <si>
    <t>9PFRH</t>
  </si>
  <si>
    <t>https://www.propertypro.ng/property/5-bedroom-house-for-rent-dawaki-abuja-9PFRH</t>
  </si>
  <si>
    <t>4bedroom Duplex With Bq And 3 Sitting Rooms</t>
  </si>
  <si>
    <t>Guzape, Abuja Guzape Abuja</t>
  </si>
  <si>
    <t>8PMGP</t>
  </si>
  <si>
    <t>https://www.propertypro.ng/property/4-bedroom-house-for-rent-guzape-abuja-guzape-abuja-8PMGP</t>
  </si>
  <si>
    <t>Fully Furnished 4 Bedroom Terrace Duplex With 1room Bq</t>
  </si>
  <si>
    <t>Guzape District Abuja Diplomatic Zone Guzape Abuja</t>
  </si>
  <si>
    <t>0PLMJ</t>
  </si>
  <si>
    <t>https://www.propertypro.ng/property/4-bedroom-house-for-rent-guzape-district-abuja-diplomatic-zone-guzape-abuja-0PLMJ</t>
  </si>
  <si>
    <t>Brand New 4 Bedroom Terrace Duplex With 1room</t>
  </si>
  <si>
    <t>3PLMJ</t>
  </si>
  <si>
    <t>https://www.propertypro.ng/property/4-bedroom-house-for-rent-guzape-district-abuja-diplomatic-zone-guzape-abuja-3PLMJ</t>
  </si>
  <si>
    <t>7PLMH</t>
  </si>
  <si>
    <t>https://www.propertypro.ng/property/4-bedroom-house-for-rent-guzape-district-abuja-diplomatic-zone-guzape-abuja-7PLMH</t>
  </si>
  <si>
    <t>After Coza Guzape Abuja</t>
  </si>
  <si>
    <t>2PECG</t>
  </si>
  <si>
    <t>https://www.propertypro.ng/property/3-bedroom-house-for-rent-after-coza-guzape-abuja-2PECG</t>
  </si>
  <si>
    <t>Guzape Guzape Abuja</t>
  </si>
  <si>
    <t>3PMEV</t>
  </si>
  <si>
    <t>https://www.propertypro.ng/property/2-bedroom-flat-apartment-for-rent-guzape-guzape-abuja-3PMEV</t>
  </si>
  <si>
    <t>8NVAZ</t>
  </si>
  <si>
    <t>https://www.propertypro.ng/property/4-bedroom-house-for-rent-guzape-abuja-8NVAZ</t>
  </si>
  <si>
    <t>1NRLR</t>
  </si>
  <si>
    <t>https://www.propertypro.ng/property/4-bedroom-house-for-rent-guzape-abuja-1NRLR</t>
  </si>
  <si>
    <t>Guzape Main Guzape Abuja</t>
  </si>
  <si>
    <t>3PFUH</t>
  </si>
  <si>
    <t>https://www.propertypro.ng/property/4-bedroom-house-for-rent-guzape-main-guzape-abuja-3PFUH</t>
  </si>
  <si>
    <t>8PFUH</t>
  </si>
  <si>
    <t>https://www.propertypro.ng/property/4-bedroom-house-for-rent-guzape-main-guzape-abuja-8PFUH</t>
  </si>
  <si>
    <t>5PFUG</t>
  </si>
  <si>
    <t>https://www.propertypro.ng/property/3-bedroom-house-for-rent-guzape-main-guzape-abuja-5PFUG</t>
  </si>
  <si>
    <t>4 Bedrom Duplex</t>
  </si>
  <si>
    <t>0PFUH</t>
  </si>
  <si>
    <t>https://www.propertypro.ng/property/4-bedroom-house-for-rent-guzape-main-guzape-abuja-0PFUH</t>
  </si>
  <si>
    <t>Guzape By Hmedix Guzape Abuja</t>
  </si>
  <si>
    <t>2PFUG</t>
  </si>
  <si>
    <t>https://www.propertypro.ng/property/4-bedroom-house-for-rent-guzape-by-hmedix-guzape-abuja-2PFUG</t>
  </si>
  <si>
    <t>Furnished 4 Bedroom Terraced Duplex</t>
  </si>
  <si>
    <t>7PHNR</t>
  </si>
  <si>
    <t>https://www.propertypro.ng/property/4-bedroom-house-for-rent-guzape-main-guzape-abuja-7PHNR</t>
  </si>
  <si>
    <t>Newly Built 4 Bedroom Terrace Duplex+bq</t>
  </si>
  <si>
    <t>3PMBV</t>
  </si>
  <si>
    <t>https://www.propertypro.ng/property/4-bedroom-house-for-rent-guzape-guzape-abuja-3PMBV</t>
  </si>
  <si>
    <t>Fha/enl Estate Guzape Guzape Abuja</t>
  </si>
  <si>
    <t>6PJZY</t>
  </si>
  <si>
    <t>https://www.propertypro.ng/property/2-bedroom-flat-apartment-for-rent-fha-enl-estate-guzape-guzape-abuja-6PJZY</t>
  </si>
  <si>
    <t>Furnished 4 Bedroom Terrace Duplex+bq</t>
  </si>
  <si>
    <t>3PLUP</t>
  </si>
  <si>
    <t>https://www.propertypro.ng/property/4-bedroom-house-for-rent-guzape-guzape-abuja-3PLUP</t>
  </si>
  <si>
    <t>Perfectly Finished 4 Bedroom Terrace Duplex</t>
  </si>
  <si>
    <t>9PLAK</t>
  </si>
  <si>
    <t>https://www.propertypro.ng/property/4-bedroom-house-for-rent-guzape-guzape-abuja-9PLAK</t>
  </si>
  <si>
    <t>Magnificent 4 Bedroom Terrace Duplex+bq</t>
  </si>
  <si>
    <t>3PKLR</t>
  </si>
  <si>
    <t>https://www.propertypro.ng/property/4-bedroom-house-for-rent-guzape-guzape-abuja-3PKLR</t>
  </si>
  <si>
    <t>Magnificent 4 Bedroom Semi Detached Duplex+ Bq</t>
  </si>
  <si>
    <t>0PKAF</t>
  </si>
  <si>
    <t>https://www.propertypro.ng/property/4-bedroom-house-for-rent-guzape-guzape-abuja-0PKAF</t>
  </si>
  <si>
    <t>Luxury Built 3 Bedroom Flat</t>
  </si>
  <si>
    <t>2PLQP</t>
  </si>
  <si>
    <t>https://www.propertypro.ng/property/3-bedroom-flat-apartment-for-rent-guzape-guzape-abuja-2PLQP</t>
  </si>
  <si>
    <t>A Newly Furnished &amp; Serviced 2 Bedroom Flat</t>
  </si>
  <si>
    <t>Utako District Utako Abuja</t>
  </si>
  <si>
    <t>1PMJU</t>
  </si>
  <si>
    <t>https://www.propertypro.ng/property/2-bedroom-flat-apartment-for-rent-utako-district-utako-abuja-1PMJU</t>
  </si>
  <si>
    <t>A Very Good Spacious 2 Bedroom Flat</t>
  </si>
  <si>
    <t>Utako District Abuja. Utako Abuja</t>
  </si>
  <si>
    <t>2PJRC</t>
  </si>
  <si>
    <t>https://www.propertypro.ng/property/2-bedroom-flat-apartment-for-rent-utako-district-abuja-utako-abuja-2PJRC</t>
  </si>
  <si>
    <t>A Well Built 4 Bedroom Semi Detached Duplex + 1bq</t>
  </si>
  <si>
    <t>1PLXW</t>
  </si>
  <si>
    <t>https://www.propertypro.ng/property/4-bedroom-house-for-rent-utako-district-abuja-utako-abuja-1PLXW</t>
  </si>
  <si>
    <t>Service 2 Bedroom Apartment</t>
  </si>
  <si>
    <t>4PGWE</t>
  </si>
  <si>
    <t>https://www.propertypro.ng/property/2-bedroom-flat-apartment-for-rent-utako-abuja-4PGWE</t>
  </si>
  <si>
    <t>5PGWE</t>
  </si>
  <si>
    <t>https://www.propertypro.ng/property/2-bedroom-flat-apartment-for-rent-utako-abuja-5PGWE</t>
  </si>
  <si>
    <t>0PGYS</t>
  </si>
  <si>
    <t>https://www.propertypro.ng/property/1-bedroom-flat-apartment-for-rent-utako-abuja-utako-abuja-0PGYS</t>
  </si>
  <si>
    <t>Massive 4bedroom Duplex With Room Bq</t>
  </si>
  <si>
    <t>Utako By Wuye, Utako, Abuja Utako Abuja</t>
  </si>
  <si>
    <t>6PLFT</t>
  </si>
  <si>
    <t>https://www.propertypro.ng/property/4-bedroom-house-for-rent-utako-by-wuye-utako-abuja-utako-abuja-6PLFT</t>
  </si>
  <si>
    <t>1PJNS</t>
  </si>
  <si>
    <t>https://www.propertypro.ng/property/3-bedroom-house-for-rent-utako-abuja-1PJNS</t>
  </si>
  <si>
    <t>7PHSH</t>
  </si>
  <si>
    <t>https://www.propertypro.ng/property/3-bedroom-flat-apartment-for-rent-utako-abuja-7PHSH</t>
  </si>
  <si>
    <t>0PJMV</t>
  </si>
  <si>
    <t>https://www.propertypro.ng/property/3-bedroom-house-for-rent-utako-abuja-0PJMV</t>
  </si>
  <si>
    <t>4bedroom Duplex With Bq</t>
  </si>
  <si>
    <t>Utako Close To Wuye, Utako, Abuja Utako Abuja</t>
  </si>
  <si>
    <t>0PLKF</t>
  </si>
  <si>
    <t>https://www.propertypro.ng/property/4-bedroom-house-for-rent-utako-close-to-wuye-utako-abuja-utako-abuja-0PLKF</t>
  </si>
  <si>
    <t>6PJBY</t>
  </si>
  <si>
    <t>https://www.propertypro.ng/property/3-bedroom-flat-apartment-for-rent-utako-abuja-6PJBY</t>
  </si>
  <si>
    <t>4bedroom Duplex With Bq ( Self Compound )</t>
  </si>
  <si>
    <t>1PLFC</t>
  </si>
  <si>
    <t>https://www.propertypro.ng/property/4-bedroom-house-for-rent-utako-by-wuye-utako-abuja-utako-abuja-1PLFC</t>
  </si>
  <si>
    <t>Big Room Self Contained</t>
  </si>
  <si>
    <t>4PHXT</t>
  </si>
  <si>
    <t>https://www.propertypro.ng/property/1-bedroom-flat-apartment-for-rent-utako-abuja-4PHXT</t>
  </si>
  <si>
    <t>4 Bedroom Terrace Duplex + 1bq</t>
  </si>
  <si>
    <t>Utako Abuja. (video Of House Is Attached) Utako Abuja</t>
  </si>
  <si>
    <t>6NRJA</t>
  </si>
  <si>
    <t>https://www.propertypro.ng/property/4-bedroom-house-for-rent-utako-abuja-video-of-house-is-attached-utako-abuja-6NRJA</t>
  </si>
  <si>
    <t>3bedroom Semi Detached Duplex For Rent In Utako</t>
  </si>
  <si>
    <t>9PLEH</t>
  </si>
  <si>
    <t>https://www.propertypro.ng/property/3-bedroom-house-for-rent-utako-district-utako-abuja-9PLEH</t>
  </si>
  <si>
    <t>Price Tier</t>
  </si>
  <si>
    <t>₦40M and above</t>
  </si>
  <si>
    <t>₦15M to below ₦40M</t>
  </si>
  <si>
    <t>₦5M to below ₦15M</t>
  </si>
  <si>
    <t>Below ₦5M</t>
  </si>
  <si>
    <t>₦750M and above</t>
  </si>
  <si>
    <t>₦250M to below ₦750M</t>
  </si>
  <si>
    <t>₦50M to below ₦250M</t>
  </si>
  <si>
    <t>Below ₦50M</t>
  </si>
  <si>
    <t>Row Labels</t>
  </si>
  <si>
    <t>Grand Total</t>
  </si>
  <si>
    <t>Count of price_ngn</t>
  </si>
  <si>
    <t>Median Sale Price</t>
  </si>
  <si>
    <t>Median Rent Price</t>
  </si>
  <si>
    <t>Median Annual rent by Area</t>
  </si>
  <si>
    <t>Rental Listings by Price Tier</t>
  </si>
  <si>
    <t>Rental listing count by Area</t>
  </si>
  <si>
    <t>Median Annual rent by Bedroom Count</t>
  </si>
  <si>
    <t>Median Annual rent by Property Type</t>
  </si>
  <si>
    <t>Rental listing count by Property Type</t>
  </si>
  <si>
    <t>KPI</t>
  </si>
  <si>
    <t>Rental Listings</t>
  </si>
  <si>
    <t>Median Annual Rent</t>
  </si>
  <si>
    <t>Minimum Annual Rent</t>
  </si>
  <si>
    <t>Maximum Annual Rent</t>
  </si>
  <si>
    <t>Display</t>
  </si>
  <si>
    <t>Calcualtion</t>
  </si>
  <si>
    <t>Max of price_ngn</t>
  </si>
  <si>
    <t>Min of price_ngn</t>
  </si>
  <si>
    <t>Rental price distribution by Area</t>
  </si>
  <si>
    <t>Rental Price_Range</t>
  </si>
  <si>
    <t>Median Sale Price by Area</t>
  </si>
  <si>
    <t>Sale Listing Count by Area</t>
  </si>
  <si>
    <t>Sale Listing Count by Price Tier</t>
  </si>
  <si>
    <t>Median Sale Price by Bedroom Count</t>
  </si>
  <si>
    <t>Median Sale Price by Property Type</t>
  </si>
  <si>
    <t>Sale Listings by Property Type</t>
  </si>
  <si>
    <t>Total Sale Listings</t>
  </si>
  <si>
    <t>Median Sale Asking Price</t>
  </si>
  <si>
    <t>Minimum Sale Asking Price</t>
  </si>
  <si>
    <t>Maximum Sale Asking Price</t>
  </si>
  <si>
    <t>₦</t>
  </si>
  <si>
    <t>Sale Listings Count by Number of Bedrooms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</si>
</sst>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6" formatCode="&quot;₦&quot;#,##0;[Red]\-&quot;₦&quot;#,##0"/>
    <numFmt numFmtId="8" formatCode="&quot;₦&quot;#,##0.00;[Red]\-&quot;₦&quot;#,##0.00"/>
    <numFmt numFmtId="164" formatCode="0.0%"/>
    <numFmt numFmtId="165" formatCode="&quot;₦&quot;#,##0;\-&quot;₦&quot;#,##0;&quot;₦&quot;#,##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color theme="1"/>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15" fontId="0" fillId="0" borderId="0" xfId="0" applyNumberFormat="1"/>
    <xf numFmtId="0" fontId="16" fillId="0" borderId="0" xfId="0" applyFont="1"/>
    <xf numFmtId="6" fontId="0" fillId="0" borderId="0" xfId="0" applyNumberFormat="1"/>
    <xf numFmtId="0" fontId="0" fillId="0" borderId="0" xfId="0" applyAlignment="1">
      <alignment horizontal="left"/>
    </xf>
    <xf numFmtId="8" fontId="0" fillId="0" borderId="0" xfId="0" applyNumberFormat="1"/>
    <xf numFmtId="0" fontId="0" fillId="0" borderId="0" xfId="0" pivotButton="1"/>
    <xf numFmtId="3" fontId="0" fillId="0" borderId="0" xfId="0" applyNumberFormat="1"/>
    <xf numFmtId="0" fontId="16" fillId="0" borderId="0" xfId="0" applyFont="1" applyAlignment="1">
      <alignment horizontal="center"/>
    </xf>
    <xf numFmtId="4" fontId="0" fillId="0" borderId="0" xfId="0" applyNumberFormat="1"/>
    <xf numFmtId="0" fontId="19" fillId="0" borderId="0" xfId="0" applyFont="1"/>
    <xf numFmtId="164" fontId="0" fillId="0" borderId="0" xfId="0" applyNumberFormat="1"/>
    <xf numFmtId="0" fontId="16" fillId="33" borderId="0" xfId="0" applyFont="1" applyFill="1" applyAlignment="1">
      <alignment horizontal="center"/>
    </xf>
    <xf numFmtId="0" fontId="0" fillId="0" borderId="0" xfId="0" applyAlignment="1">
      <alignment horizontal="center"/>
    </xf>
    <xf numFmtId="0" fontId="0" fillId="33" borderId="0" xfId="0" applyFill="1" applyAlignment="1">
      <alignment horizontal="center"/>
    </xf>
    <xf numFmtId="0" fontId="0" fillId="0" borderId="0" xfId="0" applyNumberFormat="1"/>
    <xf numFmtId="165"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99">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12" formatCode="&quot;₦&quot;#,##0.00;[Red]\-&quot;₦&quot;#,##0.00"/>
    </dxf>
    <dxf>
      <numFmt numFmtId="12" formatCode="&quot;₦&quot;#,##0.00;[Red]\-&quot;₦&quot;#,##0.00"/>
    </dxf>
    <dxf>
      <numFmt numFmtId="4" formatCode="#,##0.00"/>
    </dxf>
    <dxf>
      <numFmt numFmtId="4" formatCode="#,##0.00"/>
    </dxf>
    <dxf>
      <numFmt numFmtId="12" formatCode="&quot;₦&quot;#,##0.00;[Red]\-&quot;₦&quot;#,##0.00"/>
    </dxf>
    <dxf>
      <numFmt numFmtId="3" formatCode="#,##0"/>
    </dxf>
    <dxf>
      <numFmt numFmtId="12" formatCode="&quot;₦&quot;#,##0.00;[Red]\-&quot;₦&quot;#,##0.00"/>
    </dxf>
    <dxf>
      <numFmt numFmtId="3" formatCode="#,##0"/>
    </dxf>
    <dxf>
      <numFmt numFmtId="12" formatCode="&quot;₦&quot;#,##0.00;[Red]\-&quot;₦&quot;#,##0.00"/>
    </dxf>
    <dxf>
      <numFmt numFmtId="12" formatCode="&quot;₦&quot;#,##0.00;[Red]\-&quot;₦&quot;#,##0.00"/>
    </dxf>
    <dxf>
      <numFmt numFmtId="12" formatCode="&quot;₦&quot;#,##0.00;[Red]\-&quot;₦&quot;#,##0.00"/>
    </dxf>
    <dxf>
      <numFmt numFmtId="12" formatCode="&quot;₦&quot;#,##0.00;[Red]\-&quot;₦&quot;#,##0.00"/>
    </dxf>
    <dxf>
      <numFmt numFmtId="3" formatCode="#,##0"/>
    </dxf>
    <dxf>
      <numFmt numFmtId="3" formatCode="#,##0"/>
    </dxf>
    <dxf>
      <numFmt numFmtId="12" formatCode="&quot;₦&quot;#,##0.00;[Red]\-&quot;₦&quot;#,##0.00"/>
    </dxf>
    <dxf>
      <numFmt numFmtId="4" formatCode="#,##0.00"/>
    </dxf>
    <dxf>
      <numFmt numFmtId="4" formatCode="#,##0.00"/>
    </dxf>
    <dxf>
      <numFmt numFmtId="12" formatCode="&quot;₦&quot;#,##0.00;[Red]\-&quot;₦&quot;#,##0.00"/>
    </dxf>
    <dxf>
      <numFmt numFmtId="12" formatCode="&quot;₦&quot;#,##0.00;[Red]\-&quot;₦&quot;#,##0.00"/>
    </dxf>
    <dxf>
      <numFmt numFmtId="12" formatCode="&quot;₦&quot;#,##0.00;[Red]\-&quot;₦&quot;#,##0.00"/>
    </dxf>
    <dxf>
      <numFmt numFmtId="12" formatCode="&quot;₦&quot;#,##0.00;[Red]\-&quot;₦&quot;#,##0.00"/>
    </dxf>
    <dxf>
      <numFmt numFmtId="0" formatCode="General"/>
    </dxf>
    <dxf>
      <numFmt numFmtId="12" formatCode="&quot;₦&quot;#,##0.00;[Red]\-&quot;₦&quot;#,##0.00"/>
    </dxf>
    <dxf>
      <numFmt numFmtId="0" formatCode="General"/>
    </dxf>
    <dxf>
      <numFmt numFmtId="12" formatCode="&quot;₦&quot;#,##0.00;[Red]\-&quot;₦&quot;#,##0.00"/>
    </dxf>
    <dxf>
      <font>
        <b/>
        <i val="0"/>
        <sz val="12"/>
        <color theme="0"/>
      </font>
    </dxf>
    <dxf>
      <font>
        <b/>
        <i val="0"/>
        <sz val="12"/>
        <color rgb="FFFFA700"/>
      </font>
      <fill>
        <patternFill>
          <bgColor theme="1" tint="0.34998626667073579"/>
        </patternFill>
      </fill>
    </dxf>
  </dxfs>
  <tableStyles count="1" defaultTableStyle="TableStyleMedium2" defaultPivotStyle="PivotStyleLight16">
    <tableStyle name="Slicer Style 1" pivot="0" table="0" count="8" xr9:uid="{3DE30D95-2EBF-40F3-9B0E-BB42F4F735ED}">
      <tableStyleElement type="wholeTable" dxfId="398"/>
      <tableStyleElement type="headerRow" dxfId="397"/>
    </tableStyle>
  </tableStyles>
  <colors>
    <mruColors>
      <color rgb="FFFFA700"/>
    </mruColors>
  </colors>
  <extLst>
    <ext xmlns:x14="http://schemas.microsoft.com/office/spreadsheetml/2009/9/main" uri="{46F421CA-312F-682f-3DD2-61675219B42D}">
      <x14:dxfs count="6">
        <dxf>
          <font>
            <b/>
            <i val="0"/>
            <sz val="12"/>
            <color theme="1"/>
          </font>
          <fill>
            <patternFill>
              <bgColor theme="2" tint="-9.9948118533890809E-2"/>
            </patternFill>
          </fill>
        </dxf>
        <dxf>
          <font>
            <b/>
            <i val="0"/>
            <sz val="12"/>
            <color theme="1"/>
          </font>
          <fill>
            <patternFill>
              <bgColor theme="2" tint="-9.9948118533890809E-2"/>
            </patternFill>
          </fill>
        </dxf>
        <dxf>
          <font>
            <b/>
            <i val="0"/>
            <sz val="12"/>
            <color rgb="FFFFA700"/>
          </font>
          <fill>
            <patternFill>
              <bgColor theme="1"/>
            </patternFill>
          </fill>
        </dxf>
        <dxf>
          <font>
            <b/>
            <i val="0"/>
            <sz val="12"/>
            <color rgb="FFFFA700"/>
          </font>
          <fill>
            <patternFill>
              <bgColor theme="1"/>
            </patternFill>
          </fill>
        </dxf>
        <dxf>
          <font>
            <b/>
            <i val="0"/>
            <sz val="12"/>
            <color rgb="FFFFA700"/>
          </font>
          <fill>
            <patternFill>
              <bgColor theme="1" tint="0.34998626667073579"/>
            </patternFill>
          </fill>
        </dxf>
        <dxf>
          <fill>
            <patternFill>
              <bgColor theme="1" tint="0.3499862666707357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6.xml"/><Relationship Id="rId21" Type="http://schemas.openxmlformats.org/officeDocument/2006/relationships/pivotCacheDefinition" Target="pivotCache/pivotCacheDefinition11.xml"/><Relationship Id="rId42" Type="http://schemas.openxmlformats.org/officeDocument/2006/relationships/calcChain" Target="calcChain.xml"/><Relationship Id="rId47" Type="http://schemas.openxmlformats.org/officeDocument/2006/relationships/customXml" Target="../customXml/item5.xml"/><Relationship Id="rId63" Type="http://schemas.openxmlformats.org/officeDocument/2006/relationships/customXml" Target="../customXml/item21.xml"/><Relationship Id="rId68" Type="http://schemas.openxmlformats.org/officeDocument/2006/relationships/customXml" Target="../customXml/item26.xml"/><Relationship Id="rId84" Type="http://schemas.openxmlformats.org/officeDocument/2006/relationships/customXml" Target="../customXml/item42.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pivotCacheDefinition" Target="pivotCache/pivotCacheDefinition22.xml"/><Relationship Id="rId37" Type="http://schemas.openxmlformats.org/officeDocument/2006/relationships/theme" Target="theme/theme1.xml"/><Relationship Id="rId53" Type="http://schemas.openxmlformats.org/officeDocument/2006/relationships/customXml" Target="../customXml/item11.xml"/><Relationship Id="rId58" Type="http://schemas.openxmlformats.org/officeDocument/2006/relationships/customXml" Target="../customXml/item16.xml"/><Relationship Id="rId74" Type="http://schemas.openxmlformats.org/officeDocument/2006/relationships/customXml" Target="../customXml/item32.xml"/><Relationship Id="rId79" Type="http://schemas.openxmlformats.org/officeDocument/2006/relationships/customXml" Target="../customXml/item37.xml"/><Relationship Id="rId5" Type="http://schemas.openxmlformats.org/officeDocument/2006/relationships/worksheet" Target="worksheets/sheet5.xml"/><Relationship Id="rId19" Type="http://schemas.openxmlformats.org/officeDocument/2006/relationships/pivotCacheDefinition" Target="pivotCache/pivotCacheDefinition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pivotCacheDefinition" Target="pivotCache/pivotCacheDefinition17.xml"/><Relationship Id="rId30" Type="http://schemas.openxmlformats.org/officeDocument/2006/relationships/pivotCacheDefinition" Target="pivotCache/pivotCacheDefinition20.xml"/><Relationship Id="rId35" Type="http://schemas.microsoft.com/office/2007/relationships/slicerCache" Target="slicerCaches/slicerCache3.xml"/><Relationship Id="rId43" Type="http://schemas.openxmlformats.org/officeDocument/2006/relationships/customXml" Target="../customXml/item1.xml"/><Relationship Id="rId48" Type="http://schemas.openxmlformats.org/officeDocument/2006/relationships/customXml" Target="../customXml/item6.xml"/><Relationship Id="rId56" Type="http://schemas.openxmlformats.org/officeDocument/2006/relationships/customXml" Target="../customXml/item14.xml"/><Relationship Id="rId64" Type="http://schemas.openxmlformats.org/officeDocument/2006/relationships/customXml" Target="../customXml/item22.xml"/><Relationship Id="rId69" Type="http://schemas.openxmlformats.org/officeDocument/2006/relationships/customXml" Target="../customXml/item27.xml"/><Relationship Id="rId77" Type="http://schemas.openxmlformats.org/officeDocument/2006/relationships/customXml" Target="../customXml/item35.xml"/><Relationship Id="rId8" Type="http://schemas.openxmlformats.org/officeDocument/2006/relationships/worksheet" Target="worksheets/sheet8.xml"/><Relationship Id="rId51" Type="http://schemas.openxmlformats.org/officeDocument/2006/relationships/customXml" Target="../customXml/item9.xml"/><Relationship Id="rId72" Type="http://schemas.openxmlformats.org/officeDocument/2006/relationships/customXml" Target="../customXml/item30.xml"/><Relationship Id="rId80" Type="http://schemas.openxmlformats.org/officeDocument/2006/relationships/customXml" Target="../customXml/item38.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microsoft.com/office/2007/relationships/slicerCache" Target="slicerCaches/slicerCache1.xml"/><Relationship Id="rId38" Type="http://schemas.openxmlformats.org/officeDocument/2006/relationships/connections" Target="connections.xml"/><Relationship Id="rId46" Type="http://schemas.openxmlformats.org/officeDocument/2006/relationships/customXml" Target="../customXml/item4.xml"/><Relationship Id="rId59" Type="http://schemas.openxmlformats.org/officeDocument/2006/relationships/customXml" Target="../customXml/item17.xml"/><Relationship Id="rId67" Type="http://schemas.openxmlformats.org/officeDocument/2006/relationships/customXml" Target="../customXml/item25.xml"/><Relationship Id="rId20" Type="http://schemas.openxmlformats.org/officeDocument/2006/relationships/pivotCacheDefinition" Target="pivotCache/pivotCacheDefinition10.xml"/><Relationship Id="rId41" Type="http://schemas.openxmlformats.org/officeDocument/2006/relationships/powerPivotData" Target="model/item.data"/><Relationship Id="rId54" Type="http://schemas.openxmlformats.org/officeDocument/2006/relationships/customXml" Target="../customXml/item12.xml"/><Relationship Id="rId62" Type="http://schemas.openxmlformats.org/officeDocument/2006/relationships/customXml" Target="../customXml/item20.xml"/><Relationship Id="rId70" Type="http://schemas.openxmlformats.org/officeDocument/2006/relationships/customXml" Target="../customXml/item28.xml"/><Relationship Id="rId75" Type="http://schemas.openxmlformats.org/officeDocument/2006/relationships/customXml" Target="../customXml/item33.xml"/><Relationship Id="rId83" Type="http://schemas.openxmlformats.org/officeDocument/2006/relationships/customXml" Target="../customXml/item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openxmlformats.org/officeDocument/2006/relationships/pivotCacheDefinition" Target="pivotCache/pivotCacheDefinition18.xml"/><Relationship Id="rId36" Type="http://schemas.microsoft.com/office/2007/relationships/slicerCache" Target="slicerCaches/slicerCache4.xml"/><Relationship Id="rId49" Type="http://schemas.openxmlformats.org/officeDocument/2006/relationships/customXml" Target="../customXml/item7.xml"/><Relationship Id="rId57" Type="http://schemas.openxmlformats.org/officeDocument/2006/relationships/customXml" Target="../customXml/item15.xml"/><Relationship Id="rId10" Type="http://schemas.openxmlformats.org/officeDocument/2006/relationships/worksheet" Target="worksheets/sheet10.xml"/><Relationship Id="rId31" Type="http://schemas.openxmlformats.org/officeDocument/2006/relationships/pivotCacheDefinition" Target="pivotCache/pivotCacheDefinition21.xml"/><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65" Type="http://schemas.openxmlformats.org/officeDocument/2006/relationships/customXml" Target="../customXml/item23.xml"/><Relationship Id="rId73" Type="http://schemas.openxmlformats.org/officeDocument/2006/relationships/customXml" Target="../customXml/item31.xml"/><Relationship Id="rId78" Type="http://schemas.openxmlformats.org/officeDocument/2006/relationships/customXml" Target="../customXml/item36.xml"/><Relationship Id="rId81" Type="http://schemas.openxmlformats.org/officeDocument/2006/relationships/customXml" Target="../customXml/item3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openxmlformats.org/officeDocument/2006/relationships/styles" Target="styles.xml"/><Relationship Id="rId34" Type="http://schemas.microsoft.com/office/2007/relationships/slicerCache" Target="slicerCaches/slicerCache2.xml"/><Relationship Id="rId50" Type="http://schemas.openxmlformats.org/officeDocument/2006/relationships/customXml" Target="../customXml/item8.xml"/><Relationship Id="rId55" Type="http://schemas.openxmlformats.org/officeDocument/2006/relationships/customXml" Target="../customXml/item13.xml"/><Relationship Id="rId76" Type="http://schemas.openxmlformats.org/officeDocument/2006/relationships/customXml" Target="../customXml/item34.xml"/><Relationship Id="rId7" Type="http://schemas.openxmlformats.org/officeDocument/2006/relationships/worksheet" Target="worksheets/sheet7.xml"/><Relationship Id="rId71" Type="http://schemas.openxmlformats.org/officeDocument/2006/relationships/customXml" Target="../customXml/item29.xml"/><Relationship Id="rId2" Type="http://schemas.openxmlformats.org/officeDocument/2006/relationships/worksheet" Target="worksheets/sheet2.xml"/><Relationship Id="rId29" Type="http://schemas.openxmlformats.org/officeDocument/2006/relationships/pivotCacheDefinition" Target="pivotCache/pivotCacheDefinition19.xml"/><Relationship Id="rId24" Type="http://schemas.openxmlformats.org/officeDocument/2006/relationships/pivotCacheDefinition" Target="pivotCache/pivotCacheDefinition14.xml"/><Relationship Id="rId40" Type="http://schemas.openxmlformats.org/officeDocument/2006/relationships/sharedStrings" Target="sharedStrings.xml"/><Relationship Id="rId45" Type="http://schemas.openxmlformats.org/officeDocument/2006/relationships/customXml" Target="../customXml/item3.xml"/><Relationship Id="rId66" Type="http://schemas.openxmlformats.org/officeDocument/2006/relationships/customXml" Target="../customXml/item24.xml"/><Relationship Id="rId61" Type="http://schemas.openxmlformats.org/officeDocument/2006/relationships/customXml" Target="../customXml/item19.xml"/><Relationship Id="rId82" Type="http://schemas.openxmlformats.org/officeDocument/2006/relationships/customXml" Target="../customXml/item40.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Rent!Median Annual rent by Area</c:name>
    <c:fmtId val="2"/>
  </c:pivotSource>
  <c:chart>
    <c:autoTitleDeleted val="1"/>
    <c:pivotFmts>
      <c:pivotFmt>
        <c:idx val="0"/>
        <c:spPr>
          <a:solidFill>
            <a:srgbClr val="FFA700"/>
          </a:solidFill>
          <a:ln>
            <a:solidFill>
              <a:schemeClr val="tx1"/>
            </a:solid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A700"/>
          </a:solidFill>
          <a:ln>
            <a:solidFill>
              <a:schemeClr val="tx1"/>
            </a:solidFill>
          </a:ln>
          <a:effectLst/>
        </c:spPr>
      </c:pivotFmt>
      <c:pivotFmt>
        <c:idx val="2"/>
        <c:spPr>
          <a:solidFill>
            <a:srgbClr val="FFA700"/>
          </a:solidFill>
          <a:ln>
            <a:solidFill>
              <a:schemeClr val="tx1"/>
            </a:solid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700"/>
          </a:solidFill>
          <a:ln>
            <a:solidFill>
              <a:schemeClr val="tx1"/>
            </a:solidFill>
          </a:ln>
          <a:effectLst/>
        </c:spPr>
        <c:marker>
          <c:symbol val="none"/>
        </c:marker>
        <c:dLbl>
          <c:idx val="0"/>
          <c:numFmt formatCode="&quot;₦&quot;#,##0.00,,&quot;M&quot;" sourceLinked="0"/>
          <c:spPr>
            <a:solidFill>
              <a:schemeClr val="tx1">
                <a:alpha val="80000"/>
              </a:schemeClr>
            </a:solidFill>
            <a:ln>
              <a:solidFill>
                <a:schemeClr val="tx1"/>
              </a:solidFill>
            </a:ln>
            <a:effectLst/>
          </c:spPr>
          <c:txPr>
            <a:bodyPr rot="0" spcFirstLastPara="1" vertOverflow="ellipsis" wrap="square" lIns="108000" tIns="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bar"/>
        <c:grouping val="clustered"/>
        <c:varyColors val="0"/>
        <c:ser>
          <c:idx val="0"/>
          <c:order val="0"/>
          <c:tx>
            <c:strRef>
              <c:f>'Pivot Table Rent'!$B$4</c:f>
              <c:strCache>
                <c:ptCount val="1"/>
                <c:pt idx="0">
                  <c:v>Total</c:v>
                </c:pt>
              </c:strCache>
            </c:strRef>
          </c:tx>
          <c:spPr>
            <a:solidFill>
              <a:srgbClr val="FFA700"/>
            </a:solidFill>
            <a:ln>
              <a:solidFill>
                <a:schemeClr val="tx1"/>
              </a:solidFill>
            </a:ln>
            <a:effectLst/>
          </c:spPr>
          <c:invertIfNegative val="0"/>
          <c:dLbls>
            <c:numFmt formatCode="&quot;₦&quot;#,##0.00,,&quot;M&quot;" sourceLinked="0"/>
            <c:spPr>
              <a:solidFill>
                <a:schemeClr val="tx1">
                  <a:alpha val="80000"/>
                </a:schemeClr>
              </a:solidFill>
              <a:ln>
                <a:solidFill>
                  <a:schemeClr val="tx1"/>
                </a:solidFill>
              </a:ln>
              <a:effectLst/>
            </c:spPr>
            <c:txPr>
              <a:bodyPr rot="0" spcFirstLastPara="1" vertOverflow="ellipsis" wrap="square" lIns="108000" tIns="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'Pivot Table Rent'!$A$5:$A$20</c:f>
              <c:strCache>
                <c:ptCount val="16"/>
                <c:pt idx="0">
                  <c:v>Kubwa</c:v>
                </c:pt>
                <c:pt idx="1">
                  <c:v>Lugbe</c:v>
                </c:pt>
                <c:pt idx="2">
                  <c:v>Dawaki</c:v>
                </c:pt>
                <c:pt idx="3">
                  <c:v>Apo</c:v>
                </c:pt>
                <c:pt idx="4">
                  <c:v>Lokogoma</c:v>
                </c:pt>
                <c:pt idx="5">
                  <c:v>Gwarinpa</c:v>
                </c:pt>
                <c:pt idx="6">
                  <c:v>Galadimawa</c:v>
                </c:pt>
                <c:pt idx="7">
                  <c:v>Karsana</c:v>
                </c:pt>
                <c:pt idx="8">
                  <c:v>Life-Camp</c:v>
                </c:pt>
                <c:pt idx="9">
                  <c:v>Jabi</c:v>
                </c:pt>
                <c:pt idx="10">
                  <c:v>Utako</c:v>
                </c:pt>
                <c:pt idx="11">
                  <c:v>Guzape</c:v>
                </c:pt>
                <c:pt idx="12">
                  <c:v>Asokoro</c:v>
                </c:pt>
                <c:pt idx="13">
                  <c:v>Katampe</c:v>
                </c:pt>
                <c:pt idx="14">
                  <c:v>Wuse-2</c:v>
                </c:pt>
                <c:pt idx="15">
                  <c:v>Maitama</c:v>
                </c:pt>
              </c:strCache>
            </c:strRef>
          </c:cat>
          <c:val>
            <c:numRef>
              <c:f>'Pivot Table Rent'!$B$5:$B$20</c:f>
              <c:numCache>
                <c:formatCode>"₦"#,##0.00_);[Red]\("₦"#,##0.00\)</c:formatCode>
                <c:ptCount val="16"/>
                <c:pt idx="0">
                  <c:v>3500000</c:v>
                </c:pt>
                <c:pt idx="1">
                  <c:v>4250000</c:v>
                </c:pt>
                <c:pt idx="2">
                  <c:v>4500000</c:v>
                </c:pt>
                <c:pt idx="3">
                  <c:v>4750000</c:v>
                </c:pt>
                <c:pt idx="4">
                  <c:v>5000000</c:v>
                </c:pt>
                <c:pt idx="5">
                  <c:v>6000000</c:v>
                </c:pt>
                <c:pt idx="6">
                  <c:v>6000000</c:v>
                </c:pt>
                <c:pt idx="7">
                  <c:v>7500000</c:v>
                </c:pt>
                <c:pt idx="8">
                  <c:v>9000000</c:v>
                </c:pt>
                <c:pt idx="9">
                  <c:v>11000000</c:v>
                </c:pt>
                <c:pt idx="10">
                  <c:v>11000000</c:v>
                </c:pt>
                <c:pt idx="11">
                  <c:v>16000000</c:v>
                </c:pt>
                <c:pt idx="12">
                  <c:v>17500000</c:v>
                </c:pt>
                <c:pt idx="13">
                  <c:v>21500000</c:v>
                </c:pt>
                <c:pt idx="14">
                  <c:v>25000000</c:v>
                </c:pt>
                <c:pt idx="15">
                  <c:v>50000000</c:v>
                </c:pt>
              </c:numCache>
            </c:numRef>
          </c:val>
          <c:extLst>
            <c:ext xmlns:c16="http://schemas.microsoft.com/office/drawing/2014/chart" uri="{C3380CC4-5D6E-409C-BE32-E72D297353CC}">
              <c16:uniqueId val="{00000000-8873-4DC9-8D08-252CF5305432}"/>
            </c:ext>
          </c:extLst>
        </c:ser>
        <c:dLbls>
          <c:dLblPos val="outEnd"/>
          <c:showLegendKey val="0"/>
          <c:showVal val="1"/>
          <c:showCatName val="0"/>
          <c:showSerName val="0"/>
          <c:showPercent val="0"/>
          <c:showBubbleSize val="0"/>
        </c:dLbls>
        <c:gapWidth val="146"/>
        <c:axId val="1995092464"/>
        <c:axId val="1981571008"/>
      </c:barChart>
      <c:catAx>
        <c:axId val="1995092464"/>
        <c:scaling>
          <c:orientation val="minMax"/>
        </c:scaling>
        <c:delete val="0"/>
        <c:axPos val="l"/>
        <c:numFmt formatCode="General" sourceLinked="1"/>
        <c:majorTickMark val="none"/>
        <c:minorTickMark val="none"/>
        <c:tickLblPos val="nextTo"/>
        <c:spPr>
          <a:solidFill>
            <a:schemeClr val="tx1">
              <a:alpha val="70000"/>
            </a:schemeClr>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981571008"/>
        <c:crosses val="autoZero"/>
        <c:auto val="1"/>
        <c:lblAlgn val="ctr"/>
        <c:lblOffset val="100"/>
        <c:noMultiLvlLbl val="0"/>
      </c:catAx>
      <c:valAx>
        <c:axId val="1981571008"/>
        <c:scaling>
          <c:orientation val="minMax"/>
        </c:scaling>
        <c:delete val="1"/>
        <c:axPos val="b"/>
        <c:numFmt formatCode="&quot;₦&quot;#,##0.00_);[Red]\(&quot;₦&quot;#,##0.00\)" sourceLinked="1"/>
        <c:majorTickMark val="none"/>
        <c:minorTickMark val="none"/>
        <c:tickLblPos val="nextTo"/>
        <c:crossAx val="19950924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Rent!Median Annual rent by Property Type</c:name>
    <c:fmtId val="3"/>
  </c:pivotSource>
  <c:chart>
    <c:autoTitleDeleted val="1"/>
    <c:pivotFmts>
      <c:pivotFmt>
        <c:idx val="0"/>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numFmt formatCode="&quot;₦&quot;#,##0.00,,&quot;M&quot;" sourceLinked="0"/>
          <c:spPr>
            <a:solidFill>
              <a:schemeClr val="tx1">
                <a:alpha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208064900978284E-2"/>
          <c:y val="0.13964601858227799"/>
          <c:w val="0.90645860176568838"/>
          <c:h val="0.64508048661217732"/>
        </c:manualLayout>
      </c:layout>
      <c:barChart>
        <c:barDir val="col"/>
        <c:grouping val="clustered"/>
        <c:varyColors val="0"/>
        <c:ser>
          <c:idx val="0"/>
          <c:order val="0"/>
          <c:tx>
            <c:strRef>
              <c:f>'Pivot Table Rent'!$E$48</c:f>
              <c:strCache>
                <c:ptCount val="1"/>
                <c:pt idx="0">
                  <c:v>Total</c:v>
                </c:pt>
              </c:strCache>
            </c:strRef>
          </c:tx>
          <c:spPr>
            <a:solidFill>
              <a:srgbClr val="FFA700"/>
            </a:solidFill>
            <a:ln>
              <a:solidFill>
                <a:schemeClr val="tx1"/>
              </a:solidFill>
            </a:ln>
            <a:effectLst/>
          </c:spPr>
          <c:invertIfNegative val="0"/>
          <c:dLbls>
            <c:numFmt formatCode="&quot;₦&quot;#,##0.00,,&quot;M&quot;" sourceLinked="0"/>
            <c:spPr>
              <a:solidFill>
                <a:schemeClr val="tx1">
                  <a:alpha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Rent'!$D$49:$D$55</c:f>
              <c:strCache>
                <c:ptCount val="6"/>
                <c:pt idx="0">
                  <c:v>Detached Duplex</c:v>
                </c:pt>
                <c:pt idx="1">
                  <c:v>Semi-Detached Duplex</c:v>
                </c:pt>
                <c:pt idx="2">
                  <c:v>Terraced Duplex</c:v>
                </c:pt>
                <c:pt idx="3">
                  <c:v>House</c:v>
                </c:pt>
                <c:pt idx="4">
                  <c:v>Bungalow</c:v>
                </c:pt>
                <c:pt idx="5">
                  <c:v>Flat/Apartment</c:v>
                </c:pt>
              </c:strCache>
            </c:strRef>
          </c:cat>
          <c:val>
            <c:numRef>
              <c:f>'Pivot Table Rent'!$E$49:$E$55</c:f>
              <c:numCache>
                <c:formatCode>"₦"#,##0.00_);[Red]\("₦"#,##0.00\)</c:formatCode>
                <c:ptCount val="6"/>
                <c:pt idx="0">
                  <c:v>20000000</c:v>
                </c:pt>
                <c:pt idx="1">
                  <c:v>17500000</c:v>
                </c:pt>
                <c:pt idx="2">
                  <c:v>15000000</c:v>
                </c:pt>
                <c:pt idx="3">
                  <c:v>7000000</c:v>
                </c:pt>
                <c:pt idx="4">
                  <c:v>5000000</c:v>
                </c:pt>
                <c:pt idx="5">
                  <c:v>4250000</c:v>
                </c:pt>
              </c:numCache>
            </c:numRef>
          </c:val>
          <c:extLst>
            <c:ext xmlns:c16="http://schemas.microsoft.com/office/drawing/2014/chart" uri="{C3380CC4-5D6E-409C-BE32-E72D297353CC}">
              <c16:uniqueId val="{00000000-7258-478A-ADC2-2173D5745CD9}"/>
            </c:ext>
          </c:extLst>
        </c:ser>
        <c:dLbls>
          <c:dLblPos val="outEnd"/>
          <c:showLegendKey val="0"/>
          <c:showVal val="1"/>
          <c:showCatName val="0"/>
          <c:showSerName val="0"/>
          <c:showPercent val="0"/>
          <c:showBubbleSize val="0"/>
        </c:dLbls>
        <c:gapWidth val="219"/>
        <c:overlap val="-27"/>
        <c:axId val="1108677231"/>
        <c:axId val="1033048575"/>
      </c:barChart>
      <c:catAx>
        <c:axId val="1108677231"/>
        <c:scaling>
          <c:orientation val="minMax"/>
        </c:scaling>
        <c:delete val="0"/>
        <c:axPos val="b"/>
        <c:numFmt formatCode="General" sourceLinked="1"/>
        <c:majorTickMark val="none"/>
        <c:minorTickMark val="none"/>
        <c:tickLblPos val="nextTo"/>
        <c:spPr>
          <a:solidFill>
            <a:schemeClr val="tx1">
              <a:alpha val="80000"/>
            </a:schemeClr>
          </a:solid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baseline="0">
                <a:solidFill>
                  <a:schemeClr val="bg1"/>
                </a:solidFill>
                <a:latin typeface="+mn-lt"/>
                <a:ea typeface="+mn-ea"/>
                <a:cs typeface="+mn-cs"/>
              </a:defRPr>
            </a:pPr>
            <a:endParaRPr lang="en-US"/>
          </a:p>
        </c:txPr>
        <c:crossAx val="1033048575"/>
        <c:crosses val="autoZero"/>
        <c:auto val="1"/>
        <c:lblAlgn val="ctr"/>
        <c:lblOffset val="100"/>
        <c:noMultiLvlLbl val="0"/>
      </c:catAx>
      <c:valAx>
        <c:axId val="1033048575"/>
        <c:scaling>
          <c:orientation val="minMax"/>
        </c:scaling>
        <c:delete val="1"/>
        <c:axPos val="l"/>
        <c:numFmt formatCode="&quot;₦&quot;#,##0.00_);[Red]\(&quot;₦&quot;#,##0.00\)" sourceLinked="1"/>
        <c:majorTickMark val="none"/>
        <c:minorTickMark val="none"/>
        <c:tickLblPos val="nextTo"/>
        <c:crossAx val="1108677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Rent!Median Annual rent by Bedroom Count</c:name>
    <c:fmtId val="5"/>
  </c:pivotSource>
  <c:chart>
    <c:autoTitleDeleted val="1"/>
    <c:pivotFmts>
      <c:pivotFmt>
        <c:idx val="0"/>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numFmt formatCode="&quot;₦&quot;#,##0.00,,&quot;M&quot;" sourceLinked="0"/>
          <c:spPr>
            <a:solidFill>
              <a:schemeClr val="tx1">
                <a:alpha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Rent'!$E$26</c:f>
              <c:strCache>
                <c:ptCount val="1"/>
                <c:pt idx="0">
                  <c:v>Total</c:v>
                </c:pt>
              </c:strCache>
            </c:strRef>
          </c:tx>
          <c:spPr>
            <a:solidFill>
              <a:srgbClr val="FFA700"/>
            </a:solidFill>
            <a:ln>
              <a:solidFill>
                <a:schemeClr val="tx1"/>
              </a:solidFill>
            </a:ln>
            <a:effectLst/>
          </c:spPr>
          <c:invertIfNegative val="0"/>
          <c:dLbls>
            <c:numFmt formatCode="&quot;₦&quot;#,##0.00,,&quot;M&quot;" sourceLinked="0"/>
            <c:spPr>
              <a:solidFill>
                <a:schemeClr val="tx1">
                  <a:alpha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Rent'!$D$27:$D$35</c:f>
              <c:strCache>
                <c:ptCount val="8"/>
                <c:pt idx="0">
                  <c:v>10</c:v>
                </c:pt>
                <c:pt idx="1">
                  <c:v>7</c:v>
                </c:pt>
                <c:pt idx="2">
                  <c:v>6</c:v>
                </c:pt>
                <c:pt idx="3">
                  <c:v>5</c:v>
                </c:pt>
                <c:pt idx="4">
                  <c:v>4</c:v>
                </c:pt>
                <c:pt idx="5">
                  <c:v>3</c:v>
                </c:pt>
                <c:pt idx="6">
                  <c:v>2</c:v>
                </c:pt>
                <c:pt idx="7">
                  <c:v>1</c:v>
                </c:pt>
              </c:strCache>
            </c:strRef>
          </c:cat>
          <c:val>
            <c:numRef>
              <c:f>'Pivot Table Rent'!$E$27:$E$35</c:f>
              <c:numCache>
                <c:formatCode>"₦"#,##0.00_);[Red]\("₦"#,##0.00\)</c:formatCode>
                <c:ptCount val="8"/>
                <c:pt idx="0">
                  <c:v>250000000</c:v>
                </c:pt>
                <c:pt idx="1">
                  <c:v>70000000</c:v>
                </c:pt>
                <c:pt idx="2">
                  <c:v>30000000</c:v>
                </c:pt>
                <c:pt idx="3">
                  <c:v>25000000</c:v>
                </c:pt>
                <c:pt idx="4">
                  <c:v>13500000</c:v>
                </c:pt>
                <c:pt idx="5">
                  <c:v>6250000</c:v>
                </c:pt>
                <c:pt idx="6">
                  <c:v>4000000</c:v>
                </c:pt>
                <c:pt idx="7">
                  <c:v>2000000</c:v>
                </c:pt>
              </c:numCache>
            </c:numRef>
          </c:val>
          <c:extLst>
            <c:ext xmlns:c16="http://schemas.microsoft.com/office/drawing/2014/chart" uri="{C3380CC4-5D6E-409C-BE32-E72D297353CC}">
              <c16:uniqueId val="{00000000-ABB5-4062-85D1-236E3900A2AC}"/>
            </c:ext>
          </c:extLst>
        </c:ser>
        <c:dLbls>
          <c:dLblPos val="outEnd"/>
          <c:showLegendKey val="0"/>
          <c:showVal val="1"/>
          <c:showCatName val="0"/>
          <c:showSerName val="0"/>
          <c:showPercent val="0"/>
          <c:showBubbleSize val="0"/>
        </c:dLbls>
        <c:gapWidth val="182"/>
        <c:axId val="1108853055"/>
        <c:axId val="1210513087"/>
      </c:barChart>
      <c:catAx>
        <c:axId val="1108853055"/>
        <c:scaling>
          <c:orientation val="minMax"/>
        </c:scaling>
        <c:delete val="0"/>
        <c:axPos val="l"/>
        <c:numFmt formatCode="General" sourceLinked="1"/>
        <c:majorTickMark val="none"/>
        <c:minorTickMark val="none"/>
        <c:tickLblPos val="nextTo"/>
        <c:spPr>
          <a:solidFill>
            <a:schemeClr val="tx1"/>
          </a:solidFill>
          <a:ln w="9525" cap="flat" cmpd="sng" algn="ctr">
            <a:solidFill>
              <a:schemeClr val="bg1"/>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1210513087"/>
        <c:crosses val="autoZero"/>
        <c:auto val="1"/>
        <c:lblAlgn val="ctr"/>
        <c:lblOffset val="100"/>
        <c:noMultiLvlLbl val="0"/>
      </c:catAx>
      <c:valAx>
        <c:axId val="1210513087"/>
        <c:scaling>
          <c:orientation val="minMax"/>
        </c:scaling>
        <c:delete val="1"/>
        <c:axPos val="b"/>
        <c:numFmt formatCode="&quot;₦&quot;#,##0.00_);[Red]\(&quot;₦&quot;#,##0.00\)" sourceLinked="1"/>
        <c:majorTickMark val="none"/>
        <c:minorTickMark val="none"/>
        <c:tickLblPos val="nextTo"/>
        <c:crossAx val="11088530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Rent!Rental Listings by Price Tier</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spPr>
            <a:solidFill>
              <a:schemeClr val="tx1">
                <a:alpha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605306799336651E-2"/>
          <c:y val="0"/>
          <c:w val="0.90878938640132667"/>
          <c:h val="0.74787557903224477"/>
        </c:manualLayout>
      </c:layout>
      <c:barChart>
        <c:barDir val="col"/>
        <c:grouping val="clustered"/>
        <c:varyColors val="0"/>
        <c:ser>
          <c:idx val="0"/>
          <c:order val="0"/>
          <c:tx>
            <c:strRef>
              <c:f>'Pivot Table Rent'!$E$4</c:f>
              <c:strCache>
                <c:ptCount val="1"/>
                <c:pt idx="0">
                  <c:v>Total</c:v>
                </c:pt>
              </c:strCache>
            </c:strRef>
          </c:tx>
          <c:spPr>
            <a:solidFill>
              <a:srgbClr val="FFA700"/>
            </a:solidFill>
            <a:ln>
              <a:solidFill>
                <a:schemeClr val="tx1"/>
              </a:solidFill>
            </a:ln>
            <a:effectLst/>
          </c:spPr>
          <c:invertIfNegative val="0"/>
          <c:dLbls>
            <c:spPr>
              <a:solidFill>
                <a:schemeClr val="tx1">
                  <a:alpha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Rent'!$D$5:$D$8</c:f>
              <c:strCache>
                <c:ptCount val="4"/>
                <c:pt idx="0">
                  <c:v>₦5M to below ₦15M</c:v>
                </c:pt>
                <c:pt idx="1">
                  <c:v>₦15M to below ₦40M</c:v>
                </c:pt>
                <c:pt idx="2">
                  <c:v>₦40M and above</c:v>
                </c:pt>
                <c:pt idx="3">
                  <c:v>Below ₦5M</c:v>
                </c:pt>
              </c:strCache>
            </c:strRef>
          </c:cat>
          <c:val>
            <c:numRef>
              <c:f>'Pivot Table Rent'!$E$5:$E$8</c:f>
              <c:numCache>
                <c:formatCode>General</c:formatCode>
                <c:ptCount val="4"/>
                <c:pt idx="0">
                  <c:v>97</c:v>
                </c:pt>
                <c:pt idx="1">
                  <c:v>53</c:v>
                </c:pt>
                <c:pt idx="2">
                  <c:v>19</c:v>
                </c:pt>
                <c:pt idx="3">
                  <c:v>81</c:v>
                </c:pt>
              </c:numCache>
            </c:numRef>
          </c:val>
          <c:extLst>
            <c:ext xmlns:c16="http://schemas.microsoft.com/office/drawing/2014/chart" uri="{C3380CC4-5D6E-409C-BE32-E72D297353CC}">
              <c16:uniqueId val="{00000000-0AAE-4D6A-8D16-AB6629F41813}"/>
            </c:ext>
          </c:extLst>
        </c:ser>
        <c:dLbls>
          <c:dLblPos val="outEnd"/>
          <c:showLegendKey val="0"/>
          <c:showVal val="1"/>
          <c:showCatName val="0"/>
          <c:showSerName val="0"/>
          <c:showPercent val="0"/>
          <c:showBubbleSize val="0"/>
        </c:dLbls>
        <c:gapWidth val="219"/>
        <c:overlap val="-27"/>
        <c:axId val="1680851103"/>
        <c:axId val="1210480927"/>
      </c:barChart>
      <c:catAx>
        <c:axId val="1680851103"/>
        <c:scaling>
          <c:orientation val="minMax"/>
        </c:scaling>
        <c:delete val="0"/>
        <c:axPos val="b"/>
        <c:numFmt formatCode="General" sourceLinked="1"/>
        <c:majorTickMark val="none"/>
        <c:minorTickMark val="none"/>
        <c:tickLblPos val="nextTo"/>
        <c:spPr>
          <a:solidFill>
            <a:schemeClr val="tx1"/>
          </a:solidFill>
          <a:ln w="9525" cap="flat" cmpd="sng" algn="ctr">
            <a:solidFill>
              <a:schemeClr val="bg1"/>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210480927"/>
        <c:crosses val="autoZero"/>
        <c:auto val="1"/>
        <c:lblAlgn val="ctr"/>
        <c:lblOffset val="100"/>
        <c:noMultiLvlLbl val="0"/>
      </c:catAx>
      <c:valAx>
        <c:axId val="1210480927"/>
        <c:scaling>
          <c:orientation val="minMax"/>
        </c:scaling>
        <c:delete val="1"/>
        <c:axPos val="l"/>
        <c:numFmt formatCode="General" sourceLinked="1"/>
        <c:majorTickMark val="none"/>
        <c:minorTickMark val="none"/>
        <c:tickLblPos val="nextTo"/>
        <c:crossAx val="1680851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Rent!Rental listing count by Area</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700"/>
          </a:solidFill>
          <a:ln>
            <a:solidFill>
              <a:schemeClr val="tx1"/>
            </a:solidFill>
          </a:ln>
          <a:effectLst/>
        </c:spPr>
      </c:pivotFmt>
      <c:pivotFmt>
        <c:idx val="4"/>
        <c:spPr>
          <a:solidFill>
            <a:srgbClr val="FFA700"/>
          </a:solidFill>
          <a:ln>
            <a:solidFill>
              <a:schemeClr val="tx1"/>
            </a:solidFill>
          </a:ln>
          <a:effectLst/>
        </c:spPr>
      </c:pivotFmt>
      <c:pivotFmt>
        <c:idx val="5"/>
        <c:spPr>
          <a:solidFill>
            <a:srgbClr val="FFA700"/>
          </a:solidFill>
          <a:ln>
            <a:solidFill>
              <a:schemeClr val="tx1"/>
            </a:solidFill>
          </a:ln>
          <a:effectLst/>
        </c:spPr>
      </c:pivotFmt>
    </c:pivotFmts>
    <c:plotArea>
      <c:layout>
        <c:manualLayout>
          <c:layoutTarget val="inner"/>
          <c:xMode val="edge"/>
          <c:yMode val="edge"/>
          <c:x val="0.21839504104540125"/>
          <c:y val="2.8119967793880839E-2"/>
          <c:w val="0.78160495895459881"/>
          <c:h val="0.94376006441223836"/>
        </c:manualLayout>
      </c:layout>
      <c:barChart>
        <c:barDir val="bar"/>
        <c:grouping val="clustered"/>
        <c:varyColors val="0"/>
        <c:ser>
          <c:idx val="0"/>
          <c:order val="0"/>
          <c:tx>
            <c:strRef>
              <c:f>'Pivot Table Rent'!$B$26</c:f>
              <c:strCache>
                <c:ptCount val="1"/>
                <c:pt idx="0">
                  <c:v>Total</c:v>
                </c:pt>
              </c:strCache>
            </c:strRef>
          </c:tx>
          <c:spPr>
            <a:solidFill>
              <a:srgbClr val="FFA700"/>
            </a:solidFill>
            <a:ln>
              <a:solidFill>
                <a:schemeClr val="tx1"/>
              </a:solid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Rent'!$A$27:$A$42</c:f>
              <c:strCache>
                <c:ptCount val="16"/>
                <c:pt idx="0">
                  <c:v>Asokoro</c:v>
                </c:pt>
                <c:pt idx="1">
                  <c:v>Karsana</c:v>
                </c:pt>
                <c:pt idx="2">
                  <c:v>Jabi</c:v>
                </c:pt>
                <c:pt idx="3">
                  <c:v>Gwarinpa</c:v>
                </c:pt>
                <c:pt idx="4">
                  <c:v>Wuse-2</c:v>
                </c:pt>
                <c:pt idx="5">
                  <c:v>Utako</c:v>
                </c:pt>
                <c:pt idx="6">
                  <c:v>Kubwa</c:v>
                </c:pt>
                <c:pt idx="7">
                  <c:v>Lokogoma</c:v>
                </c:pt>
                <c:pt idx="8">
                  <c:v>Life-Camp</c:v>
                </c:pt>
                <c:pt idx="9">
                  <c:v>Katampe</c:v>
                </c:pt>
                <c:pt idx="10">
                  <c:v>Maitama</c:v>
                </c:pt>
                <c:pt idx="11">
                  <c:v>Galadimawa</c:v>
                </c:pt>
                <c:pt idx="12">
                  <c:v>Dawaki</c:v>
                </c:pt>
                <c:pt idx="13">
                  <c:v>Lugbe</c:v>
                </c:pt>
                <c:pt idx="14">
                  <c:v>Apo</c:v>
                </c:pt>
                <c:pt idx="15">
                  <c:v>Guzape</c:v>
                </c:pt>
              </c:strCache>
            </c:strRef>
          </c:cat>
          <c:val>
            <c:numRef>
              <c:f>'Pivot Table Rent'!$B$27:$B$42</c:f>
              <c:numCache>
                <c:formatCode>#,##0</c:formatCode>
                <c:ptCount val="16"/>
                <c:pt idx="0">
                  <c:v>4</c:v>
                </c:pt>
                <c:pt idx="1">
                  <c:v>5</c:v>
                </c:pt>
                <c:pt idx="2">
                  <c:v>12</c:v>
                </c:pt>
                <c:pt idx="3">
                  <c:v>13</c:v>
                </c:pt>
                <c:pt idx="4">
                  <c:v>15</c:v>
                </c:pt>
                <c:pt idx="5">
                  <c:v>16</c:v>
                </c:pt>
                <c:pt idx="6">
                  <c:v>17</c:v>
                </c:pt>
                <c:pt idx="7">
                  <c:v>17</c:v>
                </c:pt>
                <c:pt idx="8">
                  <c:v>17</c:v>
                </c:pt>
                <c:pt idx="9">
                  <c:v>18</c:v>
                </c:pt>
                <c:pt idx="10">
                  <c:v>18</c:v>
                </c:pt>
                <c:pt idx="11">
                  <c:v>18</c:v>
                </c:pt>
                <c:pt idx="12">
                  <c:v>19</c:v>
                </c:pt>
                <c:pt idx="13">
                  <c:v>20</c:v>
                </c:pt>
                <c:pt idx="14">
                  <c:v>20</c:v>
                </c:pt>
                <c:pt idx="15">
                  <c:v>21</c:v>
                </c:pt>
              </c:numCache>
            </c:numRef>
          </c:val>
          <c:extLst>
            <c:ext xmlns:c16="http://schemas.microsoft.com/office/drawing/2014/chart" uri="{C3380CC4-5D6E-409C-BE32-E72D297353CC}">
              <c16:uniqueId val="{00000000-E277-4F9A-9323-320DA83E1D35}"/>
            </c:ext>
          </c:extLst>
        </c:ser>
        <c:dLbls>
          <c:dLblPos val="outEnd"/>
          <c:showLegendKey val="0"/>
          <c:showVal val="1"/>
          <c:showCatName val="0"/>
          <c:showSerName val="0"/>
          <c:showPercent val="0"/>
          <c:showBubbleSize val="0"/>
        </c:dLbls>
        <c:gapWidth val="182"/>
        <c:axId val="1830185071"/>
        <c:axId val="1033026495"/>
      </c:barChart>
      <c:catAx>
        <c:axId val="1830185071"/>
        <c:scaling>
          <c:orientation val="minMax"/>
        </c:scaling>
        <c:delete val="0"/>
        <c:axPos val="l"/>
        <c:numFmt formatCode="General" sourceLinked="1"/>
        <c:majorTickMark val="none"/>
        <c:minorTickMark val="none"/>
        <c:tickLblPos val="nextTo"/>
        <c:spPr>
          <a:solidFill>
            <a:schemeClr val="tx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033026495"/>
        <c:crosses val="autoZero"/>
        <c:auto val="1"/>
        <c:lblAlgn val="ctr"/>
        <c:lblOffset val="100"/>
        <c:noMultiLvlLbl val="0"/>
      </c:catAx>
      <c:valAx>
        <c:axId val="1033026495"/>
        <c:scaling>
          <c:orientation val="minMax"/>
        </c:scaling>
        <c:delete val="1"/>
        <c:axPos val="b"/>
        <c:numFmt formatCode="#,##0" sourceLinked="1"/>
        <c:majorTickMark val="none"/>
        <c:minorTickMark val="none"/>
        <c:tickLblPos val="nextTo"/>
        <c:crossAx val="1830185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Rent!Rental listing count by Property Type</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spPr>
            <a:solidFill>
              <a:schemeClr val="tx1"/>
            </a:solidFill>
            <a:ln>
              <a:solidFill>
                <a:schemeClr val="tx1"/>
              </a:solid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539682539682547"/>
          <c:y val="2.1703431372549018E-2"/>
          <c:w val="0.60645309564730809"/>
          <c:h val="0.93584135316418782"/>
        </c:manualLayout>
      </c:layout>
      <c:barChart>
        <c:barDir val="bar"/>
        <c:grouping val="clustered"/>
        <c:varyColors val="0"/>
        <c:ser>
          <c:idx val="0"/>
          <c:order val="0"/>
          <c:tx>
            <c:strRef>
              <c:f>'Pivot Table Rent'!$B$48</c:f>
              <c:strCache>
                <c:ptCount val="1"/>
                <c:pt idx="0">
                  <c:v>Total</c:v>
                </c:pt>
              </c:strCache>
            </c:strRef>
          </c:tx>
          <c:spPr>
            <a:solidFill>
              <a:srgbClr val="FFA700"/>
            </a:solidFill>
            <a:ln>
              <a:solidFill>
                <a:schemeClr val="tx1"/>
              </a:solidFill>
            </a:ln>
            <a:effectLst/>
          </c:spPr>
          <c:invertIfNegative val="0"/>
          <c:dLbls>
            <c:spPr>
              <a:solidFill>
                <a:schemeClr val="tx1"/>
              </a:solidFill>
              <a:ln>
                <a:solidFill>
                  <a:schemeClr val="tx1"/>
                </a:solid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Rent'!$A$49:$A$55</c:f>
              <c:strCache>
                <c:ptCount val="6"/>
                <c:pt idx="0">
                  <c:v>House</c:v>
                </c:pt>
                <c:pt idx="1">
                  <c:v>Semi-Detached Duplex</c:v>
                </c:pt>
                <c:pt idx="2">
                  <c:v>Bungalow</c:v>
                </c:pt>
                <c:pt idx="3">
                  <c:v>Detached Duplex</c:v>
                </c:pt>
                <c:pt idx="4">
                  <c:v>Terraced Duplex</c:v>
                </c:pt>
                <c:pt idx="5">
                  <c:v>Flat/Apartment</c:v>
                </c:pt>
              </c:strCache>
            </c:strRef>
          </c:cat>
          <c:val>
            <c:numRef>
              <c:f>'Pivot Table Rent'!$B$49:$B$55</c:f>
              <c:numCache>
                <c:formatCode>#,##0</c:formatCode>
                <c:ptCount val="6"/>
                <c:pt idx="0">
                  <c:v>6</c:v>
                </c:pt>
                <c:pt idx="1">
                  <c:v>22</c:v>
                </c:pt>
                <c:pt idx="2">
                  <c:v>23</c:v>
                </c:pt>
                <c:pt idx="3">
                  <c:v>39</c:v>
                </c:pt>
                <c:pt idx="4">
                  <c:v>50</c:v>
                </c:pt>
                <c:pt idx="5">
                  <c:v>110</c:v>
                </c:pt>
              </c:numCache>
            </c:numRef>
          </c:val>
          <c:extLst>
            <c:ext xmlns:c16="http://schemas.microsoft.com/office/drawing/2014/chart" uri="{C3380CC4-5D6E-409C-BE32-E72D297353CC}">
              <c16:uniqueId val="{00000000-469F-4C52-AA39-6BB47000B9D3}"/>
            </c:ext>
          </c:extLst>
        </c:ser>
        <c:dLbls>
          <c:dLblPos val="outEnd"/>
          <c:showLegendKey val="0"/>
          <c:showVal val="1"/>
          <c:showCatName val="0"/>
          <c:showSerName val="0"/>
          <c:showPercent val="0"/>
          <c:showBubbleSize val="0"/>
        </c:dLbls>
        <c:gapWidth val="182"/>
        <c:axId val="1896281663"/>
        <c:axId val="895358975"/>
      </c:barChart>
      <c:catAx>
        <c:axId val="1896281663"/>
        <c:scaling>
          <c:orientation val="minMax"/>
        </c:scaling>
        <c:delete val="0"/>
        <c:axPos val="l"/>
        <c:numFmt formatCode="General" sourceLinked="1"/>
        <c:majorTickMark val="none"/>
        <c:minorTickMark val="none"/>
        <c:tickLblPos val="nextTo"/>
        <c:spPr>
          <a:solidFill>
            <a:schemeClr val="tx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crossAx val="895358975"/>
        <c:crosses val="autoZero"/>
        <c:auto val="1"/>
        <c:lblAlgn val="ctr"/>
        <c:lblOffset val="100"/>
        <c:noMultiLvlLbl val="0"/>
      </c:catAx>
      <c:valAx>
        <c:axId val="895358975"/>
        <c:scaling>
          <c:orientation val="minMax"/>
        </c:scaling>
        <c:delete val="1"/>
        <c:axPos val="b"/>
        <c:numFmt formatCode="#,##0" sourceLinked="1"/>
        <c:majorTickMark val="none"/>
        <c:minorTickMark val="none"/>
        <c:tickLblPos val="nextTo"/>
        <c:crossAx val="18962816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Sale!Median Sale Price by Area</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numFmt formatCode="&quot;₦&quot;#,##0.00,,&quot;M&quot;" sourceLinked="0"/>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Sale'!$B$4</c:f>
              <c:strCache>
                <c:ptCount val="1"/>
                <c:pt idx="0">
                  <c:v>Total</c:v>
                </c:pt>
              </c:strCache>
            </c:strRef>
          </c:tx>
          <c:spPr>
            <a:solidFill>
              <a:srgbClr val="FFA700"/>
            </a:solidFill>
            <a:ln>
              <a:solidFill>
                <a:schemeClr val="tx1"/>
              </a:solidFill>
            </a:ln>
            <a:effectLst/>
          </c:spPr>
          <c:invertIfNegative val="0"/>
          <c:dLbls>
            <c:numFmt formatCode="&quot;₦&quot;#,##0.00,,&quot;M&quot;" sourceLinked="0"/>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Sale'!$A$5:$A$20</c:f>
              <c:strCache>
                <c:ptCount val="16"/>
                <c:pt idx="0">
                  <c:v>Kubwa</c:v>
                </c:pt>
                <c:pt idx="1">
                  <c:v>Lugbe</c:v>
                </c:pt>
                <c:pt idx="2">
                  <c:v>Dawaki</c:v>
                </c:pt>
                <c:pt idx="3">
                  <c:v>Lokogoma</c:v>
                </c:pt>
                <c:pt idx="4">
                  <c:v>Galadimawa</c:v>
                </c:pt>
                <c:pt idx="5">
                  <c:v>Apo</c:v>
                </c:pt>
                <c:pt idx="6">
                  <c:v>Life-Camp</c:v>
                </c:pt>
                <c:pt idx="7">
                  <c:v>Karsana</c:v>
                </c:pt>
                <c:pt idx="8">
                  <c:v>Gwarinpa</c:v>
                </c:pt>
                <c:pt idx="9">
                  <c:v>Jabi</c:v>
                </c:pt>
                <c:pt idx="10">
                  <c:v>Katampe</c:v>
                </c:pt>
                <c:pt idx="11">
                  <c:v>Guzape</c:v>
                </c:pt>
                <c:pt idx="12">
                  <c:v>Maitama</c:v>
                </c:pt>
                <c:pt idx="13">
                  <c:v>Utako</c:v>
                </c:pt>
                <c:pt idx="14">
                  <c:v>Wuse-2</c:v>
                </c:pt>
                <c:pt idx="15">
                  <c:v>Asokoro</c:v>
                </c:pt>
              </c:strCache>
            </c:strRef>
          </c:cat>
          <c:val>
            <c:numRef>
              <c:f>'Pivot Table Sale'!$B$5:$B$20</c:f>
              <c:numCache>
                <c:formatCode>"₦"#,##0.00_);[Red]\("₦"#,##0.00\)</c:formatCode>
                <c:ptCount val="16"/>
                <c:pt idx="0">
                  <c:v>85000000</c:v>
                </c:pt>
                <c:pt idx="1">
                  <c:v>120000000</c:v>
                </c:pt>
                <c:pt idx="2">
                  <c:v>140000000</c:v>
                </c:pt>
                <c:pt idx="3">
                  <c:v>180000000</c:v>
                </c:pt>
                <c:pt idx="4">
                  <c:v>185000000</c:v>
                </c:pt>
                <c:pt idx="5">
                  <c:v>232500000</c:v>
                </c:pt>
                <c:pt idx="6">
                  <c:v>240000000</c:v>
                </c:pt>
                <c:pt idx="7">
                  <c:v>260000000</c:v>
                </c:pt>
                <c:pt idx="8">
                  <c:v>260000000</c:v>
                </c:pt>
                <c:pt idx="9">
                  <c:v>282500000</c:v>
                </c:pt>
                <c:pt idx="10">
                  <c:v>400000000</c:v>
                </c:pt>
                <c:pt idx="11">
                  <c:v>700000000</c:v>
                </c:pt>
                <c:pt idx="12">
                  <c:v>750000000</c:v>
                </c:pt>
                <c:pt idx="13">
                  <c:v>765000000</c:v>
                </c:pt>
                <c:pt idx="14">
                  <c:v>950000000</c:v>
                </c:pt>
                <c:pt idx="15">
                  <c:v>1100000000</c:v>
                </c:pt>
              </c:numCache>
            </c:numRef>
          </c:val>
          <c:extLst>
            <c:ext xmlns:c16="http://schemas.microsoft.com/office/drawing/2014/chart" uri="{C3380CC4-5D6E-409C-BE32-E72D297353CC}">
              <c16:uniqueId val="{00000003-AF49-488D-A36D-D5886C1A0FC6}"/>
            </c:ext>
          </c:extLst>
        </c:ser>
        <c:dLbls>
          <c:dLblPos val="outEnd"/>
          <c:showLegendKey val="0"/>
          <c:showVal val="1"/>
          <c:showCatName val="0"/>
          <c:showSerName val="0"/>
          <c:showPercent val="0"/>
          <c:showBubbleSize val="0"/>
        </c:dLbls>
        <c:gapWidth val="182"/>
        <c:axId val="1108843311"/>
        <c:axId val="1033061055"/>
      </c:barChart>
      <c:catAx>
        <c:axId val="1108843311"/>
        <c:scaling>
          <c:orientation val="minMax"/>
        </c:scaling>
        <c:delete val="0"/>
        <c:axPos val="l"/>
        <c:numFmt formatCode="General" sourceLinked="1"/>
        <c:majorTickMark val="none"/>
        <c:minorTickMark val="none"/>
        <c:tickLblPos val="nextTo"/>
        <c:spPr>
          <a:solidFill>
            <a:schemeClr val="tx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033061055"/>
        <c:crosses val="autoZero"/>
        <c:auto val="1"/>
        <c:lblAlgn val="ctr"/>
        <c:lblOffset val="100"/>
        <c:noMultiLvlLbl val="0"/>
      </c:catAx>
      <c:valAx>
        <c:axId val="1033061055"/>
        <c:scaling>
          <c:orientation val="minMax"/>
        </c:scaling>
        <c:delete val="1"/>
        <c:axPos val="b"/>
        <c:numFmt formatCode="&quot;₦&quot;#,##0.00_);[Red]\(&quot;₦&quot;#,##0.00\)" sourceLinked="1"/>
        <c:majorTickMark val="none"/>
        <c:minorTickMark val="none"/>
        <c:tickLblPos val="nextTo"/>
        <c:crossAx val="11088433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Sale!Median Sale Price by Bedroom Count</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numFmt formatCode="&quot;₦&quot;#,##0.0,,&quot;M&quot;" sourceLinked="0"/>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53492448759439"/>
          <c:y val="5.3896604938271607E-2"/>
          <c:w val="0.78532497303128368"/>
          <c:h val="0.89220679012345683"/>
        </c:manualLayout>
      </c:layout>
      <c:barChart>
        <c:barDir val="bar"/>
        <c:grouping val="clustered"/>
        <c:varyColors val="0"/>
        <c:ser>
          <c:idx val="0"/>
          <c:order val="0"/>
          <c:tx>
            <c:strRef>
              <c:f>'Pivot Table Sale'!$B$48</c:f>
              <c:strCache>
                <c:ptCount val="1"/>
                <c:pt idx="0">
                  <c:v>Total</c:v>
                </c:pt>
              </c:strCache>
            </c:strRef>
          </c:tx>
          <c:spPr>
            <a:solidFill>
              <a:srgbClr val="FFA700"/>
            </a:solidFill>
            <a:ln>
              <a:solidFill>
                <a:schemeClr val="tx1"/>
              </a:solidFill>
            </a:ln>
            <a:effectLst/>
          </c:spPr>
          <c:invertIfNegative val="0"/>
          <c:dLbls>
            <c:numFmt formatCode="&quot;₦&quot;#,##0.0,,&quot;M&quot;" sourceLinked="0"/>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Sale'!$A$49:$A$58</c:f>
              <c:strCache>
                <c:ptCount val="9"/>
                <c:pt idx="0">
                  <c:v>10</c:v>
                </c:pt>
                <c:pt idx="1">
                  <c:v>8</c:v>
                </c:pt>
                <c:pt idx="2">
                  <c:v>7</c:v>
                </c:pt>
                <c:pt idx="3">
                  <c:v>6</c:v>
                </c:pt>
                <c:pt idx="4">
                  <c:v>5</c:v>
                </c:pt>
                <c:pt idx="5">
                  <c:v>4</c:v>
                </c:pt>
                <c:pt idx="6">
                  <c:v>3</c:v>
                </c:pt>
                <c:pt idx="7">
                  <c:v>2</c:v>
                </c:pt>
                <c:pt idx="8">
                  <c:v>1</c:v>
                </c:pt>
              </c:strCache>
            </c:strRef>
          </c:cat>
          <c:val>
            <c:numRef>
              <c:f>'Pivot Table Sale'!$B$49:$B$58</c:f>
              <c:numCache>
                <c:formatCode>"₦"#,##0.00_);[Red]\("₦"#,##0.00\)</c:formatCode>
                <c:ptCount val="9"/>
                <c:pt idx="0">
                  <c:v>1645000000</c:v>
                </c:pt>
                <c:pt idx="1">
                  <c:v>2750000000</c:v>
                </c:pt>
                <c:pt idx="2">
                  <c:v>1100000000</c:v>
                </c:pt>
                <c:pt idx="3">
                  <c:v>600000000</c:v>
                </c:pt>
                <c:pt idx="4">
                  <c:v>480000000</c:v>
                </c:pt>
                <c:pt idx="5">
                  <c:v>260000000</c:v>
                </c:pt>
                <c:pt idx="6">
                  <c:v>150000000</c:v>
                </c:pt>
                <c:pt idx="7">
                  <c:v>77500000</c:v>
                </c:pt>
                <c:pt idx="8">
                  <c:v>65000000</c:v>
                </c:pt>
              </c:numCache>
            </c:numRef>
          </c:val>
          <c:extLst>
            <c:ext xmlns:c16="http://schemas.microsoft.com/office/drawing/2014/chart" uri="{C3380CC4-5D6E-409C-BE32-E72D297353CC}">
              <c16:uniqueId val="{00000003-35FD-4597-BA7D-B47A671806FF}"/>
            </c:ext>
          </c:extLst>
        </c:ser>
        <c:dLbls>
          <c:dLblPos val="outEnd"/>
          <c:showLegendKey val="0"/>
          <c:showVal val="1"/>
          <c:showCatName val="0"/>
          <c:showSerName val="0"/>
          <c:showPercent val="0"/>
          <c:showBubbleSize val="0"/>
        </c:dLbls>
        <c:gapWidth val="182"/>
        <c:axId val="1896283055"/>
        <c:axId val="1210493887"/>
      </c:barChart>
      <c:catAx>
        <c:axId val="18962830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210493887"/>
        <c:crosses val="autoZero"/>
        <c:auto val="1"/>
        <c:lblAlgn val="ctr"/>
        <c:lblOffset val="100"/>
        <c:noMultiLvlLbl val="0"/>
      </c:catAx>
      <c:valAx>
        <c:axId val="1210493887"/>
        <c:scaling>
          <c:orientation val="minMax"/>
        </c:scaling>
        <c:delete val="1"/>
        <c:axPos val="b"/>
        <c:numFmt formatCode="&quot;₦&quot;#,##0.00_);[Red]\(&quot;₦&quot;#,##0.00\)" sourceLinked="1"/>
        <c:majorTickMark val="none"/>
        <c:minorTickMark val="none"/>
        <c:tickLblPos val="nextTo"/>
        <c:crossAx val="18962830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Sale!Median Sale Price by Property Type</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numFmt formatCode="&quot;₦&quot;#,##0.0,,&quot;M&quot;" sourceLinked="0"/>
          <c:spPr>
            <a:solidFill>
              <a:schemeClr val="tx1"/>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500279173646006E-2"/>
          <c:y val="0.10176282051282051"/>
          <c:w val="0.96099944165270801"/>
          <c:h val="0.64548076923076925"/>
        </c:manualLayout>
      </c:layout>
      <c:barChart>
        <c:barDir val="col"/>
        <c:grouping val="clustered"/>
        <c:varyColors val="0"/>
        <c:ser>
          <c:idx val="0"/>
          <c:order val="0"/>
          <c:tx>
            <c:strRef>
              <c:f>'Pivot Table Sale'!$E$48</c:f>
              <c:strCache>
                <c:ptCount val="1"/>
                <c:pt idx="0">
                  <c:v>Total</c:v>
                </c:pt>
              </c:strCache>
            </c:strRef>
          </c:tx>
          <c:spPr>
            <a:solidFill>
              <a:srgbClr val="FFA700"/>
            </a:solidFill>
            <a:ln>
              <a:solidFill>
                <a:schemeClr val="tx1"/>
              </a:solidFill>
            </a:ln>
            <a:effectLst/>
          </c:spPr>
          <c:invertIfNegative val="0"/>
          <c:dLbls>
            <c:numFmt formatCode="&quot;₦&quot;#,##0.0,,&quot;M&quot;" sourceLinked="0"/>
            <c:spPr>
              <a:solidFill>
                <a:schemeClr val="tx1"/>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Sale'!$D$49:$D$56</c:f>
              <c:strCache>
                <c:ptCount val="7"/>
                <c:pt idx="0">
                  <c:v>Mansion</c:v>
                </c:pt>
                <c:pt idx="1">
                  <c:v>Detached Duplex</c:v>
                </c:pt>
                <c:pt idx="2">
                  <c:v>House</c:v>
                </c:pt>
                <c:pt idx="3">
                  <c:v>Terraced Duplex</c:v>
                </c:pt>
                <c:pt idx="4">
                  <c:v>Semi-Detached Duplex</c:v>
                </c:pt>
                <c:pt idx="5">
                  <c:v>Bungalow</c:v>
                </c:pt>
                <c:pt idx="6">
                  <c:v>Flat/Apartment</c:v>
                </c:pt>
              </c:strCache>
            </c:strRef>
          </c:cat>
          <c:val>
            <c:numRef>
              <c:f>'Pivot Table Sale'!$E$49:$E$56</c:f>
              <c:numCache>
                <c:formatCode>"₦"#,##0.00_);[Red]\("₦"#,##0.00\)</c:formatCode>
                <c:ptCount val="7"/>
                <c:pt idx="0">
                  <c:v>4000000000</c:v>
                </c:pt>
                <c:pt idx="1">
                  <c:v>485000000</c:v>
                </c:pt>
                <c:pt idx="2">
                  <c:v>260000000</c:v>
                </c:pt>
                <c:pt idx="3">
                  <c:v>250000000</c:v>
                </c:pt>
                <c:pt idx="4">
                  <c:v>250000000</c:v>
                </c:pt>
                <c:pt idx="5">
                  <c:v>170000000</c:v>
                </c:pt>
                <c:pt idx="6">
                  <c:v>130000000</c:v>
                </c:pt>
              </c:numCache>
            </c:numRef>
          </c:val>
          <c:extLst>
            <c:ext xmlns:c16="http://schemas.microsoft.com/office/drawing/2014/chart" uri="{C3380CC4-5D6E-409C-BE32-E72D297353CC}">
              <c16:uniqueId val="{00000003-DE5F-4362-806A-4FE6859F83EB}"/>
            </c:ext>
          </c:extLst>
        </c:ser>
        <c:dLbls>
          <c:dLblPos val="outEnd"/>
          <c:showLegendKey val="0"/>
          <c:showVal val="1"/>
          <c:showCatName val="0"/>
          <c:showSerName val="0"/>
          <c:showPercent val="0"/>
          <c:showBubbleSize val="0"/>
        </c:dLbls>
        <c:gapWidth val="219"/>
        <c:overlap val="-27"/>
        <c:axId val="1221104799"/>
        <c:axId val="1210508767"/>
      </c:barChart>
      <c:catAx>
        <c:axId val="1221104799"/>
        <c:scaling>
          <c:orientation val="minMax"/>
        </c:scaling>
        <c:delete val="0"/>
        <c:axPos val="b"/>
        <c:numFmt formatCode="General" sourceLinked="1"/>
        <c:majorTickMark val="none"/>
        <c:minorTickMark val="none"/>
        <c:tickLblPos val="nextTo"/>
        <c:spPr>
          <a:solidFill>
            <a:schemeClr val="tx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210508767"/>
        <c:crosses val="autoZero"/>
        <c:auto val="1"/>
        <c:lblAlgn val="ctr"/>
        <c:lblOffset val="100"/>
        <c:noMultiLvlLbl val="0"/>
      </c:catAx>
      <c:valAx>
        <c:axId val="1210508767"/>
        <c:scaling>
          <c:orientation val="minMax"/>
        </c:scaling>
        <c:delete val="1"/>
        <c:axPos val="l"/>
        <c:numFmt formatCode="&quot;₦&quot;#,##0.00_);[Red]\(&quot;₦&quot;#,##0.00\)" sourceLinked="1"/>
        <c:majorTickMark val="none"/>
        <c:minorTickMark val="none"/>
        <c:tickLblPos val="nextTo"/>
        <c:crossAx val="12211047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Sale!Sale Listing Count by Price Tier</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spPr>
            <a:solidFill>
              <a:schemeClr val="tx1"/>
            </a:solidFill>
            <a:ln>
              <a:solidFill>
                <a:schemeClr val="tx1"/>
              </a:solid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7.407407407407407E-2"/>
          <c:w val="0.93888888888888888"/>
          <c:h val="0.74626567512394282"/>
        </c:manualLayout>
      </c:layout>
      <c:barChart>
        <c:barDir val="col"/>
        <c:grouping val="clustered"/>
        <c:varyColors val="0"/>
        <c:ser>
          <c:idx val="0"/>
          <c:order val="0"/>
          <c:tx>
            <c:strRef>
              <c:f>'Pivot Table Sale'!$E$4</c:f>
              <c:strCache>
                <c:ptCount val="1"/>
                <c:pt idx="0">
                  <c:v>Total</c:v>
                </c:pt>
              </c:strCache>
            </c:strRef>
          </c:tx>
          <c:spPr>
            <a:solidFill>
              <a:srgbClr val="FFA700"/>
            </a:solidFill>
            <a:ln>
              <a:solidFill>
                <a:schemeClr val="tx1"/>
              </a:solidFill>
            </a:ln>
            <a:effectLst/>
          </c:spPr>
          <c:invertIfNegative val="0"/>
          <c:dLbls>
            <c:spPr>
              <a:solidFill>
                <a:schemeClr val="tx1"/>
              </a:solidFill>
              <a:ln>
                <a:solidFill>
                  <a:schemeClr val="tx1"/>
                </a:solid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Sale'!$D$5:$D$9</c:f>
              <c:strCache>
                <c:ptCount val="4"/>
                <c:pt idx="0">
                  <c:v>₦250M to below ₦750M</c:v>
                </c:pt>
                <c:pt idx="1">
                  <c:v>₦50M to below ₦250M</c:v>
                </c:pt>
                <c:pt idx="2">
                  <c:v>₦750M and above</c:v>
                </c:pt>
                <c:pt idx="3">
                  <c:v>Below ₦50M</c:v>
                </c:pt>
              </c:strCache>
            </c:strRef>
          </c:cat>
          <c:val>
            <c:numRef>
              <c:f>'Pivot Table Sale'!$E$5:$E$9</c:f>
              <c:numCache>
                <c:formatCode>General</c:formatCode>
                <c:ptCount val="4"/>
                <c:pt idx="0">
                  <c:v>93</c:v>
                </c:pt>
                <c:pt idx="1">
                  <c:v>92</c:v>
                </c:pt>
                <c:pt idx="2">
                  <c:v>42</c:v>
                </c:pt>
                <c:pt idx="3">
                  <c:v>4</c:v>
                </c:pt>
              </c:numCache>
            </c:numRef>
          </c:val>
          <c:extLst>
            <c:ext xmlns:c16="http://schemas.microsoft.com/office/drawing/2014/chart" uri="{C3380CC4-5D6E-409C-BE32-E72D297353CC}">
              <c16:uniqueId val="{00000003-49DE-4406-B266-CE149DFF1DF5}"/>
            </c:ext>
          </c:extLst>
        </c:ser>
        <c:dLbls>
          <c:dLblPos val="outEnd"/>
          <c:showLegendKey val="0"/>
          <c:showVal val="1"/>
          <c:showCatName val="0"/>
          <c:showSerName val="0"/>
          <c:showPercent val="0"/>
          <c:showBubbleSize val="0"/>
        </c:dLbls>
        <c:gapWidth val="219"/>
        <c:overlap val="-27"/>
        <c:axId val="1896296047"/>
        <c:axId val="1210506847"/>
      </c:barChart>
      <c:catAx>
        <c:axId val="1896296047"/>
        <c:scaling>
          <c:orientation val="minMax"/>
        </c:scaling>
        <c:delete val="0"/>
        <c:axPos val="b"/>
        <c:numFmt formatCode="General" sourceLinked="1"/>
        <c:majorTickMark val="none"/>
        <c:minorTickMark val="none"/>
        <c:tickLblPos val="nextTo"/>
        <c:spPr>
          <a:solidFill>
            <a:schemeClr val="tx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210506847"/>
        <c:crosses val="autoZero"/>
        <c:auto val="1"/>
        <c:lblAlgn val="ctr"/>
        <c:lblOffset val="100"/>
        <c:noMultiLvlLbl val="0"/>
      </c:catAx>
      <c:valAx>
        <c:axId val="1210506847"/>
        <c:scaling>
          <c:orientation val="minMax"/>
        </c:scaling>
        <c:delete val="1"/>
        <c:axPos val="l"/>
        <c:numFmt formatCode="General" sourceLinked="1"/>
        <c:majorTickMark val="none"/>
        <c:minorTickMark val="none"/>
        <c:tickLblPos val="nextTo"/>
        <c:crossAx val="1896296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Sale!Sale Listing Count by Area</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Sale'!$B$26</c:f>
              <c:strCache>
                <c:ptCount val="1"/>
                <c:pt idx="0">
                  <c:v>Total</c:v>
                </c:pt>
              </c:strCache>
            </c:strRef>
          </c:tx>
          <c:spPr>
            <a:solidFill>
              <a:srgbClr val="FFA700"/>
            </a:solidFill>
            <a:ln>
              <a:solidFill>
                <a:schemeClr val="tx1"/>
              </a:solid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Sale'!$A$27:$A$43</c:f>
              <c:strCache>
                <c:ptCount val="16"/>
                <c:pt idx="0">
                  <c:v>Maitama</c:v>
                </c:pt>
                <c:pt idx="1">
                  <c:v>Lugbe</c:v>
                </c:pt>
                <c:pt idx="2">
                  <c:v>Asokoro</c:v>
                </c:pt>
                <c:pt idx="3">
                  <c:v>Utako</c:v>
                </c:pt>
                <c:pt idx="4">
                  <c:v>Jabi</c:v>
                </c:pt>
                <c:pt idx="5">
                  <c:v>Katampe</c:v>
                </c:pt>
                <c:pt idx="6">
                  <c:v>Kubwa</c:v>
                </c:pt>
                <c:pt idx="7">
                  <c:v>Wuse-2</c:v>
                </c:pt>
                <c:pt idx="8">
                  <c:v>Guzape</c:v>
                </c:pt>
                <c:pt idx="9">
                  <c:v>Apo</c:v>
                </c:pt>
                <c:pt idx="10">
                  <c:v>Karsana</c:v>
                </c:pt>
                <c:pt idx="11">
                  <c:v>Gwarinpa</c:v>
                </c:pt>
                <c:pt idx="12">
                  <c:v>Dawaki</c:v>
                </c:pt>
                <c:pt idx="13">
                  <c:v>Life-Camp</c:v>
                </c:pt>
                <c:pt idx="14">
                  <c:v>Galadimawa</c:v>
                </c:pt>
                <c:pt idx="15">
                  <c:v>Lokogoma</c:v>
                </c:pt>
              </c:strCache>
            </c:strRef>
          </c:cat>
          <c:val>
            <c:numRef>
              <c:f>'Pivot Table Sale'!$B$27:$B$43</c:f>
              <c:numCache>
                <c:formatCode>General</c:formatCode>
                <c:ptCount val="16"/>
                <c:pt idx="0">
                  <c:v>5</c:v>
                </c:pt>
                <c:pt idx="1">
                  <c:v>9</c:v>
                </c:pt>
                <c:pt idx="2">
                  <c:v>11</c:v>
                </c:pt>
                <c:pt idx="3">
                  <c:v>12</c:v>
                </c:pt>
                <c:pt idx="4">
                  <c:v>12</c:v>
                </c:pt>
                <c:pt idx="5">
                  <c:v>12</c:v>
                </c:pt>
                <c:pt idx="6">
                  <c:v>14</c:v>
                </c:pt>
                <c:pt idx="7">
                  <c:v>15</c:v>
                </c:pt>
                <c:pt idx="8">
                  <c:v>15</c:v>
                </c:pt>
                <c:pt idx="9">
                  <c:v>16</c:v>
                </c:pt>
                <c:pt idx="10">
                  <c:v>17</c:v>
                </c:pt>
                <c:pt idx="11">
                  <c:v>18</c:v>
                </c:pt>
                <c:pt idx="12">
                  <c:v>18</c:v>
                </c:pt>
                <c:pt idx="13">
                  <c:v>18</c:v>
                </c:pt>
                <c:pt idx="14">
                  <c:v>19</c:v>
                </c:pt>
                <c:pt idx="15">
                  <c:v>20</c:v>
                </c:pt>
              </c:numCache>
            </c:numRef>
          </c:val>
          <c:extLst>
            <c:ext xmlns:c16="http://schemas.microsoft.com/office/drawing/2014/chart" uri="{C3380CC4-5D6E-409C-BE32-E72D297353CC}">
              <c16:uniqueId val="{00000003-D582-471C-9D1E-3641B2AB52DA}"/>
            </c:ext>
          </c:extLst>
        </c:ser>
        <c:dLbls>
          <c:dLblPos val="outEnd"/>
          <c:showLegendKey val="0"/>
          <c:showVal val="1"/>
          <c:showCatName val="0"/>
          <c:showSerName val="0"/>
          <c:showPercent val="0"/>
          <c:showBubbleSize val="0"/>
        </c:dLbls>
        <c:gapWidth val="182"/>
        <c:axId val="1916522943"/>
        <c:axId val="1033029855"/>
      </c:barChart>
      <c:catAx>
        <c:axId val="1916522943"/>
        <c:scaling>
          <c:orientation val="minMax"/>
        </c:scaling>
        <c:delete val="0"/>
        <c:axPos val="l"/>
        <c:numFmt formatCode="General" sourceLinked="1"/>
        <c:majorTickMark val="none"/>
        <c:minorTickMark val="none"/>
        <c:tickLblPos val="nextTo"/>
        <c:spPr>
          <a:solidFill>
            <a:schemeClr val="tx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033029855"/>
        <c:crosses val="autoZero"/>
        <c:auto val="1"/>
        <c:lblAlgn val="ctr"/>
        <c:lblOffset val="100"/>
        <c:noMultiLvlLbl val="0"/>
      </c:catAx>
      <c:valAx>
        <c:axId val="1033029855"/>
        <c:scaling>
          <c:orientation val="minMax"/>
        </c:scaling>
        <c:delete val="1"/>
        <c:axPos val="b"/>
        <c:numFmt formatCode="General" sourceLinked="1"/>
        <c:majorTickMark val="none"/>
        <c:minorTickMark val="none"/>
        <c:tickLblPos val="nextTo"/>
        <c:crossAx val="19165229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Sale!Sale Listings by Property Type</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71788517141677E-2"/>
          <c:y val="9.2592592592592587E-2"/>
          <c:w val="0.95456422965716647"/>
          <c:h val="0.74915135608048988"/>
        </c:manualLayout>
      </c:layout>
      <c:barChart>
        <c:barDir val="col"/>
        <c:grouping val="clustered"/>
        <c:varyColors val="0"/>
        <c:ser>
          <c:idx val="0"/>
          <c:order val="0"/>
          <c:tx>
            <c:strRef>
              <c:f>'Pivot Table Sale'!$B$63</c:f>
              <c:strCache>
                <c:ptCount val="1"/>
                <c:pt idx="0">
                  <c:v>Total</c:v>
                </c:pt>
              </c:strCache>
            </c:strRef>
          </c:tx>
          <c:spPr>
            <a:solidFill>
              <a:srgbClr val="FFA700"/>
            </a:solidFill>
            <a:ln>
              <a:solidFill>
                <a:schemeClr val="tx1"/>
              </a:solid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Sale'!$A$64:$A$71</c:f>
              <c:strCache>
                <c:ptCount val="7"/>
                <c:pt idx="0">
                  <c:v>Detached Duplex</c:v>
                </c:pt>
                <c:pt idx="1">
                  <c:v>Flat/Apartment</c:v>
                </c:pt>
                <c:pt idx="2">
                  <c:v>Terraced Duplex</c:v>
                </c:pt>
                <c:pt idx="3">
                  <c:v>House</c:v>
                </c:pt>
                <c:pt idx="4">
                  <c:v>Bungalow</c:v>
                </c:pt>
                <c:pt idx="5">
                  <c:v>Semi-Detached Duplex</c:v>
                </c:pt>
                <c:pt idx="6">
                  <c:v>Mansion</c:v>
                </c:pt>
              </c:strCache>
            </c:strRef>
          </c:cat>
          <c:val>
            <c:numRef>
              <c:f>'Pivot Table Sale'!$B$64:$B$71</c:f>
              <c:numCache>
                <c:formatCode>#,##0</c:formatCode>
                <c:ptCount val="7"/>
                <c:pt idx="0">
                  <c:v>76</c:v>
                </c:pt>
                <c:pt idx="1">
                  <c:v>63</c:v>
                </c:pt>
                <c:pt idx="2">
                  <c:v>34</c:v>
                </c:pt>
                <c:pt idx="3">
                  <c:v>25</c:v>
                </c:pt>
                <c:pt idx="4">
                  <c:v>17</c:v>
                </c:pt>
                <c:pt idx="5">
                  <c:v>15</c:v>
                </c:pt>
                <c:pt idx="6">
                  <c:v>1</c:v>
                </c:pt>
              </c:numCache>
            </c:numRef>
          </c:val>
          <c:extLst>
            <c:ext xmlns:c16="http://schemas.microsoft.com/office/drawing/2014/chart" uri="{C3380CC4-5D6E-409C-BE32-E72D297353CC}">
              <c16:uniqueId val="{00000003-2D7B-497D-93B5-BE05847DC162}"/>
            </c:ext>
          </c:extLst>
        </c:ser>
        <c:dLbls>
          <c:dLblPos val="outEnd"/>
          <c:showLegendKey val="0"/>
          <c:showVal val="1"/>
          <c:showCatName val="0"/>
          <c:showSerName val="0"/>
          <c:showPercent val="0"/>
          <c:showBubbleSize val="0"/>
        </c:dLbls>
        <c:gapWidth val="219"/>
        <c:overlap val="-27"/>
        <c:axId val="1208308719"/>
        <c:axId val="1210534207"/>
      </c:barChart>
      <c:catAx>
        <c:axId val="1208308719"/>
        <c:scaling>
          <c:orientation val="minMax"/>
        </c:scaling>
        <c:delete val="0"/>
        <c:axPos val="b"/>
        <c:numFmt formatCode="General" sourceLinked="1"/>
        <c:majorTickMark val="none"/>
        <c:minorTickMark val="none"/>
        <c:tickLblPos val="nextTo"/>
        <c:spPr>
          <a:solidFill>
            <a:schemeClr val="tx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210534207"/>
        <c:crosses val="autoZero"/>
        <c:auto val="1"/>
        <c:lblAlgn val="ctr"/>
        <c:lblOffset val="100"/>
        <c:noMultiLvlLbl val="0"/>
      </c:catAx>
      <c:valAx>
        <c:axId val="1210534207"/>
        <c:scaling>
          <c:orientation val="minMax"/>
        </c:scaling>
        <c:delete val="1"/>
        <c:axPos val="l"/>
        <c:numFmt formatCode="#,##0" sourceLinked="1"/>
        <c:majorTickMark val="none"/>
        <c:minorTickMark val="none"/>
        <c:tickLblPos val="nextTo"/>
        <c:crossAx val="1208308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[Abuja Housing Prices Analysis.xlsm]Pivot Table Sale!PivotTable8</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700"/>
          </a:solidFill>
          <a:ln>
            <a:solidFill>
              <a:schemeClr val="tx1"/>
            </a:solidFill>
          </a:ln>
          <a:effectLst/>
        </c:spPr>
        <c:marker>
          <c:symbol val="none"/>
        </c:marker>
        <c:dLbl>
          <c:idx val="0"/>
          <c:spPr>
            <a:solidFill>
              <a:schemeClr val="tx1"/>
            </a:solidFill>
            <a:ln>
              <a:solidFill>
                <a:schemeClr val="tx1"/>
              </a:solid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Sale'!$E$63</c:f>
              <c:strCache>
                <c:ptCount val="1"/>
                <c:pt idx="0">
                  <c:v>Total</c:v>
                </c:pt>
              </c:strCache>
            </c:strRef>
          </c:tx>
          <c:spPr>
            <a:solidFill>
              <a:srgbClr val="FFA700"/>
            </a:solidFill>
            <a:ln>
              <a:solidFill>
                <a:schemeClr val="tx1"/>
              </a:solidFill>
            </a:ln>
            <a:effectLst/>
          </c:spPr>
          <c:invertIfNegative val="0"/>
          <c:dLbls>
            <c:spPr>
              <a:solidFill>
                <a:schemeClr val="tx1"/>
              </a:solidFill>
              <a:ln>
                <a:solidFill>
                  <a:schemeClr val="tx1"/>
                </a:solid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Sale'!$D$64:$D$72</c:f>
              <c:strCache>
                <c:ptCount val="9"/>
                <c:pt idx="0">
                  <c:v>1</c:v>
                </c:pt>
                <c:pt idx="1">
                  <c:v>2</c:v>
                </c:pt>
                <c:pt idx="2">
                  <c:v>3</c:v>
                </c:pt>
                <c:pt idx="3">
                  <c:v>4</c:v>
                </c:pt>
                <c:pt idx="4">
                  <c:v>5</c:v>
                </c:pt>
                <c:pt idx="5">
                  <c:v>6</c:v>
                </c:pt>
                <c:pt idx="6">
                  <c:v>7</c:v>
                </c:pt>
                <c:pt idx="7">
                  <c:v>8</c:v>
                </c:pt>
                <c:pt idx="8">
                  <c:v>10</c:v>
                </c:pt>
              </c:strCache>
            </c:strRef>
          </c:cat>
          <c:val>
            <c:numRef>
              <c:f>'Pivot Table Sale'!$E$64:$E$72</c:f>
              <c:numCache>
                <c:formatCode>#,##0</c:formatCode>
                <c:ptCount val="9"/>
                <c:pt idx="0">
                  <c:v>3</c:v>
                </c:pt>
                <c:pt idx="1">
                  <c:v>24</c:v>
                </c:pt>
                <c:pt idx="2">
                  <c:v>51</c:v>
                </c:pt>
                <c:pt idx="3">
                  <c:v>79</c:v>
                </c:pt>
                <c:pt idx="4">
                  <c:v>47</c:v>
                </c:pt>
                <c:pt idx="5">
                  <c:v>9</c:v>
                </c:pt>
                <c:pt idx="6">
                  <c:v>10</c:v>
                </c:pt>
                <c:pt idx="7">
                  <c:v>4</c:v>
                </c:pt>
                <c:pt idx="8">
                  <c:v>4</c:v>
                </c:pt>
              </c:numCache>
            </c:numRef>
          </c:val>
          <c:extLst>
            <c:ext xmlns:c16="http://schemas.microsoft.com/office/drawing/2014/chart" uri="{C3380CC4-5D6E-409C-BE32-E72D297353CC}">
              <c16:uniqueId val="{00000003-48CF-4887-A750-DD3B5442CDF6}"/>
            </c:ext>
          </c:extLst>
        </c:ser>
        <c:dLbls>
          <c:dLblPos val="outEnd"/>
          <c:showLegendKey val="0"/>
          <c:showVal val="1"/>
          <c:showCatName val="0"/>
          <c:showSerName val="0"/>
          <c:showPercent val="0"/>
          <c:showBubbleSize val="0"/>
        </c:dLbls>
        <c:gapWidth val="219"/>
        <c:overlap val="-27"/>
        <c:axId val="1916507631"/>
        <c:axId val="1033026495"/>
      </c:barChart>
      <c:catAx>
        <c:axId val="1916507631"/>
        <c:scaling>
          <c:orientation val="minMax"/>
        </c:scaling>
        <c:delete val="0"/>
        <c:axPos val="b"/>
        <c:numFmt formatCode="General" sourceLinked="1"/>
        <c:majorTickMark val="none"/>
        <c:minorTickMark val="none"/>
        <c:tickLblPos val="nextTo"/>
        <c:spPr>
          <a:solidFill>
            <a:schemeClr val="tx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1033026495"/>
        <c:crosses val="autoZero"/>
        <c:auto val="1"/>
        <c:lblAlgn val="ctr"/>
        <c:lblOffset val="100"/>
        <c:noMultiLvlLbl val="0"/>
      </c:catAx>
      <c:valAx>
        <c:axId val="1033026495"/>
        <c:scaling>
          <c:orientation val="minMax"/>
        </c:scaling>
        <c:delete val="1"/>
        <c:axPos val="l"/>
        <c:numFmt formatCode="#,##0" sourceLinked="1"/>
        <c:majorTickMark val="none"/>
        <c:minorTickMark val="none"/>
        <c:tickLblPos val="nextTo"/>
        <c:crossAx val="1916507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C4AF7AF4-F95D-4BE5-9C08-237A5FC1526E}">
          <cx:spPr>
            <a:solidFill>
              <a:srgbClr val="FFA700"/>
            </a:solidFill>
            <a:ln w="6350">
              <a:solidFill>
                <a:schemeClr val="tx1"/>
              </a:solidFill>
            </a:ln>
          </cx:spPr>
          <cx:dataId val="0"/>
        </cx:series>
      </cx:plotAreaRegion>
      <cx:axis id="0">
        <cx:catScaling gapWidth="0.0599999987"/>
        <cx:tickLabels/>
        <cx:spPr>
          <a:ln>
            <a:solidFill>
              <a:schemeClr val="bg1"/>
            </a:solidFill>
          </a:ln>
        </cx:spPr>
        <cx:txPr>
          <a:bodyPr spcFirstLastPara="1" vertOverflow="ellipsis" horzOverflow="overflow" wrap="square" lIns="0" tIns="0" rIns="0" bIns="0" anchor="ctr" anchorCtr="1"/>
          <a:lstStyle/>
          <a:p>
            <a:pPr algn="ctr" rtl="0">
              <a:defRPr sz="1000" b="1">
                <a:solidFill>
                  <a:schemeClr val="bg1"/>
                </a:solidFill>
              </a:defRPr>
            </a:pPr>
            <a:endParaRPr lang="en-US" sz="1000" b="1" i="0" u="none" strike="noStrike" baseline="0">
              <a:solidFill>
                <a:schemeClr val="bg1"/>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jpg"/><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image" Target="../media/image2.jpg"/><Relationship Id="rId4" Type="http://schemas.microsoft.com/office/2014/relationships/chartEx" Target="../charts/chartEx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2.jpg"/><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2.jpg"/><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304800</xdr:colOff>
      <xdr:row>43</xdr:row>
      <xdr:rowOff>144780</xdr:rowOff>
    </xdr:to>
    <xdr:pic>
      <xdr:nvPicPr>
        <xdr:cNvPr id="3" name="Picture 2">
          <a:extLst>
            <a:ext uri="{FF2B5EF4-FFF2-40B4-BE49-F238E27FC236}">
              <a16:creationId xmlns:a16="http://schemas.microsoft.com/office/drawing/2014/main" id="{FCBB779F-E41C-4E0E-4099-72C7ACD8EF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4935200" cy="8008620"/>
        </a:xfrm>
        <a:prstGeom prst="rect">
          <a:avLst/>
        </a:prstGeom>
      </xdr:spPr>
    </xdr:pic>
    <xdr:clientData/>
  </xdr:twoCellAnchor>
  <xdr:twoCellAnchor>
    <xdr:from>
      <xdr:col>1</xdr:col>
      <xdr:colOff>22860</xdr:colOff>
      <xdr:row>0</xdr:row>
      <xdr:rowOff>129540</xdr:rowOff>
    </xdr:from>
    <xdr:to>
      <xdr:col>22</xdr:col>
      <xdr:colOff>388620</xdr:colOff>
      <xdr:row>5</xdr:row>
      <xdr:rowOff>83820</xdr:rowOff>
    </xdr:to>
    <xdr:sp macro="" textlink="">
      <xdr:nvSpPr>
        <xdr:cNvPr id="4" name="Rectangle: Rounded Corners 3">
          <a:extLst>
            <a:ext uri="{FF2B5EF4-FFF2-40B4-BE49-F238E27FC236}">
              <a16:creationId xmlns:a16="http://schemas.microsoft.com/office/drawing/2014/main" id="{43CEEDE2-5846-D0E9-39D1-581C29A605D8}"/>
            </a:ext>
          </a:extLst>
        </xdr:cNvPr>
        <xdr:cNvSpPr/>
      </xdr:nvSpPr>
      <xdr:spPr>
        <a:xfrm>
          <a:off x="632460" y="129540"/>
          <a:ext cx="13167360" cy="868680"/>
        </a:xfrm>
        <a:prstGeom prst="roundRect">
          <a:avLst/>
        </a:prstGeom>
        <a:solidFill>
          <a:schemeClr val="tx1">
            <a:alpha val="60000"/>
          </a:schemeClr>
        </a:solidFill>
        <a:ln>
          <a:solidFill>
            <a:srgbClr val="FFA7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5400" b="1" cap="none" spc="0">
              <a:ln w="22225">
                <a:solidFill>
                  <a:schemeClr val="tx1"/>
                </a:solidFill>
                <a:prstDash val="solid"/>
              </a:ln>
              <a:solidFill>
                <a:srgbClr val="FFA700"/>
              </a:solidFill>
              <a:effectLst/>
            </a:rPr>
            <a:t>Abuja Housing</a:t>
          </a:r>
          <a:r>
            <a:rPr lang="en-US" sz="5400" b="1" cap="none" spc="0" baseline="0">
              <a:ln w="22225">
                <a:solidFill>
                  <a:schemeClr val="tx1"/>
                </a:solidFill>
                <a:prstDash val="solid"/>
              </a:ln>
              <a:solidFill>
                <a:srgbClr val="FFA700"/>
              </a:solidFill>
              <a:effectLst/>
            </a:rPr>
            <a:t> Prices Analysis</a:t>
          </a:r>
          <a:endParaRPr lang="en-US" sz="1100" b="1">
            <a:ln w="22225">
              <a:solidFill>
                <a:schemeClr val="tx1"/>
              </a:solidFill>
              <a:prstDash val="solid"/>
            </a:ln>
            <a:solidFill>
              <a:srgbClr val="FFA700"/>
            </a:solidFill>
          </a:endParaRPr>
        </a:p>
      </xdr:txBody>
    </xdr:sp>
    <xdr:clientData/>
  </xdr:twoCellAnchor>
  <xdr:twoCellAnchor>
    <xdr:from>
      <xdr:col>2</xdr:col>
      <xdr:colOff>22860</xdr:colOff>
      <xdr:row>8</xdr:row>
      <xdr:rowOff>15240</xdr:rowOff>
    </xdr:from>
    <xdr:to>
      <xdr:col>21</xdr:col>
      <xdr:colOff>212460</xdr:colOff>
      <xdr:row>16</xdr:row>
      <xdr:rowOff>64200</xdr:rowOff>
    </xdr:to>
    <xdr:sp macro="" textlink="">
      <xdr:nvSpPr>
        <xdr:cNvPr id="5" name="Rectangle: Rounded Corners 4">
          <a:extLst>
            <a:ext uri="{FF2B5EF4-FFF2-40B4-BE49-F238E27FC236}">
              <a16:creationId xmlns:a16="http://schemas.microsoft.com/office/drawing/2014/main" id="{FC222494-BE65-4AD5-8989-6866916DD5C9}"/>
            </a:ext>
          </a:extLst>
        </xdr:cNvPr>
        <xdr:cNvSpPr/>
      </xdr:nvSpPr>
      <xdr:spPr>
        <a:xfrm>
          <a:off x="1242060" y="1478280"/>
          <a:ext cx="11772000" cy="1512000"/>
        </a:xfrm>
        <a:prstGeom prst="roundRect">
          <a:avLst/>
        </a:prstGeom>
        <a:solidFill>
          <a:schemeClr val="tx1">
            <a:alpha val="55000"/>
          </a:schemeClr>
        </a:solidFill>
        <a:ln>
          <a:noFill/>
        </a:ln>
        <a:effectLst>
          <a:softEdge rad="635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Abuja Housing Prices v1 is a structured dataset of residential property listings from Abuja, Nigeria. It covers both rental and sale listings across 16 areas of the Federal Capital Territory. The listings were scraped from PropertyPro.ng in April 2026 and published by Groundwork Data on Kaggle</a:t>
          </a:r>
          <a:endParaRPr lang="en-US" sz="800" b="1" cap="none" spc="0">
            <a:ln>
              <a:noFill/>
            </a:ln>
            <a:solidFill>
              <a:schemeClr val="bg1"/>
            </a:solidFill>
            <a:effectLst/>
          </a:endParaRPr>
        </a:p>
      </xdr:txBody>
    </xdr:sp>
    <xdr:clientData/>
  </xdr:twoCellAnchor>
  <xdr:twoCellAnchor>
    <xdr:from>
      <xdr:col>3</xdr:col>
      <xdr:colOff>137160</xdr:colOff>
      <xdr:row>33</xdr:row>
      <xdr:rowOff>83820</xdr:rowOff>
    </xdr:from>
    <xdr:to>
      <xdr:col>6</xdr:col>
      <xdr:colOff>468360</xdr:colOff>
      <xdr:row>37</xdr:row>
      <xdr:rowOff>36300</xdr:rowOff>
    </xdr:to>
    <xdr:sp macro="[0]!LandingPageRentDashboard1_Click" textlink="">
      <xdr:nvSpPr>
        <xdr:cNvPr id="8" name="Landing Page Rent Dashboard 1">
          <a:extLst>
            <a:ext uri="{FF2B5EF4-FFF2-40B4-BE49-F238E27FC236}">
              <a16:creationId xmlns:a16="http://schemas.microsoft.com/office/drawing/2014/main" id="{2AE8E62D-2DBE-40C6-9A17-DC50B128C88D}"/>
            </a:ext>
          </a:extLst>
        </xdr:cNvPr>
        <xdr:cNvSpPr/>
      </xdr:nvSpPr>
      <xdr:spPr>
        <a:xfrm>
          <a:off x="1965960" y="6118860"/>
          <a:ext cx="2160000" cy="684000"/>
        </a:xfrm>
        <a:prstGeom prst="roundRect">
          <a:avLst/>
        </a:prstGeom>
        <a:solidFill>
          <a:schemeClr val="tx1">
            <a:alpha val="80000"/>
          </a:schemeClr>
        </a:solidFill>
        <a:ln>
          <a:solidFill>
            <a:srgbClr val="FFA700"/>
          </a:solidFill>
        </a:ln>
        <a:effectLst>
          <a:glow rad="1397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cap="none" spc="0" baseline="0">
              <a:ln>
                <a:noFill/>
              </a:ln>
              <a:solidFill>
                <a:schemeClr val="bg1"/>
              </a:solidFill>
              <a:effectLst/>
            </a:rPr>
            <a:t>Rent Dashboard 1</a:t>
          </a:r>
          <a:endParaRPr lang="en-US" sz="1800" b="1" cap="none" spc="0">
            <a:ln>
              <a:noFill/>
            </a:ln>
            <a:solidFill>
              <a:schemeClr val="bg1"/>
            </a:solidFill>
            <a:effectLst/>
          </a:endParaRPr>
        </a:p>
      </xdr:txBody>
    </xdr:sp>
    <xdr:clientData/>
  </xdr:twoCellAnchor>
  <xdr:twoCellAnchor>
    <xdr:from>
      <xdr:col>7</xdr:col>
      <xdr:colOff>297180</xdr:colOff>
      <xdr:row>33</xdr:row>
      <xdr:rowOff>83820</xdr:rowOff>
    </xdr:from>
    <xdr:to>
      <xdr:col>11</xdr:col>
      <xdr:colOff>18780</xdr:colOff>
      <xdr:row>37</xdr:row>
      <xdr:rowOff>36300</xdr:rowOff>
    </xdr:to>
    <xdr:sp macro="[0]!LandingPageRentDashboard2_Click" textlink="">
      <xdr:nvSpPr>
        <xdr:cNvPr id="9" name="Landing Page Rent Dashboard 2">
          <a:extLst>
            <a:ext uri="{FF2B5EF4-FFF2-40B4-BE49-F238E27FC236}">
              <a16:creationId xmlns:a16="http://schemas.microsoft.com/office/drawing/2014/main" id="{C5D1CD8B-3413-493B-84BF-54CF36090E9D}"/>
            </a:ext>
          </a:extLst>
        </xdr:cNvPr>
        <xdr:cNvSpPr/>
      </xdr:nvSpPr>
      <xdr:spPr>
        <a:xfrm>
          <a:off x="4564380" y="6118860"/>
          <a:ext cx="2160000" cy="684000"/>
        </a:xfrm>
        <a:prstGeom prst="roundRect">
          <a:avLst/>
        </a:prstGeom>
        <a:solidFill>
          <a:schemeClr val="tx1">
            <a:alpha val="80000"/>
          </a:schemeClr>
        </a:solidFill>
        <a:ln>
          <a:solidFill>
            <a:srgbClr val="FFA700"/>
          </a:solidFill>
        </a:ln>
        <a:effectLst>
          <a:glow rad="1397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cap="none" spc="0" baseline="0">
              <a:ln>
                <a:noFill/>
              </a:ln>
              <a:solidFill>
                <a:schemeClr val="bg1"/>
              </a:solidFill>
              <a:effectLst/>
            </a:rPr>
            <a:t>Rent Dashboard 2</a:t>
          </a:r>
          <a:endParaRPr lang="en-US" sz="1800" b="1" cap="none" spc="0">
            <a:ln>
              <a:noFill/>
            </a:ln>
            <a:solidFill>
              <a:schemeClr val="bg1"/>
            </a:solidFill>
            <a:effectLst/>
          </a:endParaRPr>
        </a:p>
      </xdr:txBody>
    </xdr:sp>
    <xdr:clientData/>
  </xdr:twoCellAnchor>
  <xdr:twoCellAnchor>
    <xdr:from>
      <xdr:col>11</xdr:col>
      <xdr:colOff>464820</xdr:colOff>
      <xdr:row>33</xdr:row>
      <xdr:rowOff>83820</xdr:rowOff>
    </xdr:from>
    <xdr:to>
      <xdr:col>15</xdr:col>
      <xdr:colOff>186420</xdr:colOff>
      <xdr:row>37</xdr:row>
      <xdr:rowOff>36300</xdr:rowOff>
    </xdr:to>
    <xdr:sp macro="[0]!LandingPageSaleDashboard1_Click" textlink="">
      <xdr:nvSpPr>
        <xdr:cNvPr id="10" name="Landing Page Sale Dashboard 1">
          <a:extLst>
            <a:ext uri="{FF2B5EF4-FFF2-40B4-BE49-F238E27FC236}">
              <a16:creationId xmlns:a16="http://schemas.microsoft.com/office/drawing/2014/main" id="{A3845307-0634-449A-B616-14FDDDB14D8F}"/>
            </a:ext>
          </a:extLst>
        </xdr:cNvPr>
        <xdr:cNvSpPr/>
      </xdr:nvSpPr>
      <xdr:spPr>
        <a:xfrm>
          <a:off x="7170420" y="6118860"/>
          <a:ext cx="2160000" cy="684000"/>
        </a:xfrm>
        <a:prstGeom prst="roundRect">
          <a:avLst/>
        </a:prstGeom>
        <a:solidFill>
          <a:schemeClr val="tx1">
            <a:alpha val="80000"/>
          </a:schemeClr>
        </a:solidFill>
        <a:ln>
          <a:solidFill>
            <a:srgbClr val="FFA700"/>
          </a:solidFill>
        </a:ln>
        <a:effectLst>
          <a:glow rad="1397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cap="none" spc="0" baseline="0">
              <a:ln>
                <a:noFill/>
              </a:ln>
              <a:solidFill>
                <a:schemeClr val="bg1"/>
              </a:solidFill>
              <a:effectLst/>
            </a:rPr>
            <a:t>Sale Dashboard 1</a:t>
          </a:r>
          <a:endParaRPr lang="en-US" sz="1800" b="1" cap="none" spc="0">
            <a:ln>
              <a:noFill/>
            </a:ln>
            <a:solidFill>
              <a:schemeClr val="bg1"/>
            </a:solidFill>
            <a:effectLst/>
          </a:endParaRPr>
        </a:p>
      </xdr:txBody>
    </xdr:sp>
    <xdr:clientData/>
  </xdr:twoCellAnchor>
  <xdr:twoCellAnchor>
    <xdr:from>
      <xdr:col>15</xdr:col>
      <xdr:colOff>563880</xdr:colOff>
      <xdr:row>33</xdr:row>
      <xdr:rowOff>91440</xdr:rowOff>
    </xdr:from>
    <xdr:to>
      <xdr:col>19</xdr:col>
      <xdr:colOff>285480</xdr:colOff>
      <xdr:row>37</xdr:row>
      <xdr:rowOff>43920</xdr:rowOff>
    </xdr:to>
    <xdr:sp macro="[0]!LandingPageSaleDashboard2_Click" textlink="">
      <xdr:nvSpPr>
        <xdr:cNvPr id="11" name="Landing Page Sale Dashboard 2">
          <a:extLst>
            <a:ext uri="{FF2B5EF4-FFF2-40B4-BE49-F238E27FC236}">
              <a16:creationId xmlns:a16="http://schemas.microsoft.com/office/drawing/2014/main" id="{E0F26719-E7E0-40D9-B0FB-973D9CA3EB2F}"/>
            </a:ext>
          </a:extLst>
        </xdr:cNvPr>
        <xdr:cNvSpPr/>
      </xdr:nvSpPr>
      <xdr:spPr>
        <a:xfrm>
          <a:off x="9707880" y="6126480"/>
          <a:ext cx="2160000" cy="684000"/>
        </a:xfrm>
        <a:prstGeom prst="roundRect">
          <a:avLst/>
        </a:prstGeom>
        <a:solidFill>
          <a:schemeClr val="tx1">
            <a:alpha val="80000"/>
          </a:schemeClr>
        </a:solidFill>
        <a:ln>
          <a:solidFill>
            <a:srgbClr val="FFA700"/>
          </a:solidFill>
        </a:ln>
        <a:effectLst>
          <a:glow rad="1397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cap="none" spc="0" baseline="0">
              <a:ln>
                <a:noFill/>
              </a:ln>
              <a:solidFill>
                <a:schemeClr val="bg1"/>
              </a:solidFill>
              <a:effectLst/>
            </a:rPr>
            <a:t>Sale Dashboard 2</a:t>
          </a:r>
          <a:endParaRPr lang="en-US" sz="1800" b="1" cap="none" spc="0">
            <a:ln>
              <a:noFill/>
            </a:ln>
            <a:solidFill>
              <a:schemeClr val="bg1"/>
            </a:solidFill>
            <a:effectLst/>
          </a:endParaRPr>
        </a:p>
      </xdr:txBody>
    </xdr:sp>
    <xdr:clientData/>
  </xdr:twoCellAnchor>
  <xdr:twoCellAnchor>
    <xdr:from>
      <xdr:col>6</xdr:col>
      <xdr:colOff>182880</xdr:colOff>
      <xdr:row>26</xdr:row>
      <xdr:rowOff>114300</xdr:rowOff>
    </xdr:from>
    <xdr:to>
      <xdr:col>16</xdr:col>
      <xdr:colOff>144780</xdr:colOff>
      <xdr:row>29</xdr:row>
      <xdr:rowOff>121920</xdr:rowOff>
    </xdr:to>
    <xdr:sp macro="" textlink="">
      <xdr:nvSpPr>
        <xdr:cNvPr id="2" name="Rectangle: Rounded Corners 1">
          <a:extLst>
            <a:ext uri="{FF2B5EF4-FFF2-40B4-BE49-F238E27FC236}">
              <a16:creationId xmlns:a16="http://schemas.microsoft.com/office/drawing/2014/main" id="{CC50C201-A06D-4F16-BB12-0BDCE674178F}"/>
            </a:ext>
          </a:extLst>
        </xdr:cNvPr>
        <xdr:cNvSpPr/>
      </xdr:nvSpPr>
      <xdr:spPr>
        <a:xfrm>
          <a:off x="3840480" y="4869180"/>
          <a:ext cx="6057900" cy="556260"/>
        </a:xfrm>
        <a:prstGeom prst="roundRect">
          <a:avLst/>
        </a:prstGeom>
        <a:solidFill>
          <a:schemeClr val="tx1">
            <a:alpha val="55000"/>
          </a:schemeClr>
        </a:solidFill>
        <a:ln>
          <a:noFill/>
        </a:ln>
        <a:effectLst>
          <a:softEdge rad="635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cap="none" spc="0">
              <a:ln>
                <a:noFill/>
              </a:ln>
              <a:solidFill>
                <a:srgbClr val="FFA700"/>
              </a:solidFill>
              <a:effectLst/>
            </a:rPr>
            <a:t>Project By:</a:t>
          </a:r>
          <a:r>
            <a:rPr lang="en-US" sz="1600" b="1" cap="none" spc="0" baseline="0">
              <a:ln>
                <a:noFill/>
              </a:ln>
              <a:solidFill>
                <a:srgbClr val="FFA700"/>
              </a:solidFill>
              <a:effectLst/>
            </a:rPr>
            <a:t> </a:t>
          </a:r>
          <a:r>
            <a:rPr lang="en-US" sz="1800" b="1" cap="none" spc="0">
              <a:ln>
                <a:noFill/>
              </a:ln>
              <a:solidFill>
                <a:srgbClr val="FFA700"/>
              </a:solidFill>
              <a:effectLst/>
            </a:rPr>
            <a:t>Obiekwe</a:t>
          </a:r>
          <a:r>
            <a:rPr lang="en-US" sz="1800" b="1" cap="none" spc="0" baseline="0">
              <a:ln>
                <a:noFill/>
              </a:ln>
              <a:solidFill>
                <a:srgbClr val="FFA700"/>
              </a:solidFill>
              <a:effectLst/>
            </a:rPr>
            <a:t> Emmanuel C.</a:t>
          </a:r>
          <a:r>
            <a:rPr lang="en-US" sz="1600" b="1" cap="none" spc="0" baseline="0">
              <a:ln>
                <a:noFill/>
              </a:ln>
              <a:solidFill>
                <a:srgbClr val="FFA700"/>
              </a:solidFill>
              <a:effectLst/>
            </a:rPr>
            <a:t> </a:t>
          </a:r>
          <a:r>
            <a:rPr lang="en-US" sz="1600" b="0" cap="none" spc="0" baseline="0">
              <a:ln>
                <a:noFill/>
              </a:ln>
              <a:solidFill>
                <a:srgbClr val="FFA700"/>
              </a:solidFill>
              <a:effectLst/>
            </a:rPr>
            <a:t>(</a:t>
          </a:r>
          <a:r>
            <a:rPr lang="en-US" sz="1600" b="0" i="1" cap="none" spc="0" baseline="0">
              <a:ln>
                <a:noFill/>
              </a:ln>
              <a:solidFill>
                <a:srgbClr val="FFA700"/>
              </a:solidFill>
              <a:effectLst/>
            </a:rPr>
            <a:t>Business Analyst</a:t>
          </a:r>
          <a:r>
            <a:rPr lang="en-US" sz="1600" b="0" cap="none" spc="0" baseline="0">
              <a:ln>
                <a:noFill/>
              </a:ln>
              <a:solidFill>
                <a:srgbClr val="FFA700"/>
              </a:solidFill>
              <a:effectLst/>
            </a:rPr>
            <a:t>)</a:t>
          </a:r>
          <a:endParaRPr lang="en-US" sz="1600" b="0" cap="none" spc="0">
            <a:ln>
              <a:noFill/>
            </a:ln>
            <a:solidFill>
              <a:srgbClr val="FFA7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853440</xdr:colOff>
      <xdr:row>15</xdr:row>
      <xdr:rowOff>22860</xdr:rowOff>
    </xdr:from>
    <xdr:to>
      <xdr:col>9</xdr:col>
      <xdr:colOff>800100</xdr:colOff>
      <xdr:row>28</xdr:row>
      <xdr:rowOff>112395</xdr:rowOff>
    </xdr:to>
    <mc:AlternateContent xmlns:mc="http://schemas.openxmlformats.org/markup-compatibility/2006" xmlns:a14="http://schemas.microsoft.com/office/drawing/2010/main">
      <mc:Choice Requires="a14">
        <xdr:graphicFrame macro="">
          <xdr:nvGraphicFramePr>
            <xdr:cNvPr id="8" name="area">
              <a:extLst>
                <a:ext uri="{FF2B5EF4-FFF2-40B4-BE49-F238E27FC236}">
                  <a16:creationId xmlns:a16="http://schemas.microsoft.com/office/drawing/2014/main" id="{06182B39-10BC-2A64-E127-85FEBAEC557D}"/>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8907780" y="27660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76200</xdr:colOff>
      <xdr:row>15</xdr:row>
      <xdr:rowOff>15240</xdr:rowOff>
    </xdr:from>
    <xdr:to>
      <xdr:col>12</xdr:col>
      <xdr:colOff>152400</xdr:colOff>
      <xdr:row>28</xdr:row>
      <xdr:rowOff>104775</xdr:rowOff>
    </xdr:to>
    <mc:AlternateContent xmlns:mc="http://schemas.openxmlformats.org/markup-compatibility/2006" xmlns:a14="http://schemas.microsoft.com/office/drawing/2010/main">
      <mc:Choice Requires="a14">
        <xdr:graphicFrame macro="">
          <xdr:nvGraphicFramePr>
            <xdr:cNvPr id="9" name="Price Tier">
              <a:extLst>
                <a:ext uri="{FF2B5EF4-FFF2-40B4-BE49-F238E27FC236}">
                  <a16:creationId xmlns:a16="http://schemas.microsoft.com/office/drawing/2014/main" id="{BB7C11C8-5EC1-101D-2866-C641FA2DA106}"/>
                </a:ext>
              </a:extLst>
            </xdr:cNvPr>
            <xdr:cNvGraphicFramePr/>
          </xdr:nvGraphicFramePr>
          <xdr:xfrm>
            <a:off x="0" y="0"/>
            <a:ext cx="0" cy="0"/>
          </xdr:xfrm>
          <a:graphic>
            <a:graphicData uri="http://schemas.microsoft.com/office/drawing/2010/slicer">
              <sle:slicer xmlns:sle="http://schemas.microsoft.com/office/drawing/2010/slicer" name="Price Tier"/>
            </a:graphicData>
          </a:graphic>
        </xdr:graphicFrame>
      </mc:Choice>
      <mc:Fallback xmlns="">
        <xdr:sp macro="" textlink="">
          <xdr:nvSpPr>
            <xdr:cNvPr id="0" name=""/>
            <xdr:cNvSpPr>
              <a:spLocks noTextEdit="1"/>
            </xdr:cNvSpPr>
          </xdr:nvSpPr>
          <xdr:spPr>
            <a:xfrm>
              <a:off x="11201400" y="27584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23</xdr:col>
      <xdr:colOff>586740</xdr:colOff>
      <xdr:row>44</xdr:row>
      <xdr:rowOff>152400</xdr:rowOff>
    </xdr:to>
    <xdr:pic>
      <xdr:nvPicPr>
        <xdr:cNvPr id="6" name="Picture 5">
          <a:extLst>
            <a:ext uri="{FF2B5EF4-FFF2-40B4-BE49-F238E27FC236}">
              <a16:creationId xmlns:a16="http://schemas.microsoft.com/office/drawing/2014/main" id="{16B2140C-11BF-4822-9E8D-AD9CE7C44BF3}"/>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120" b="34619"/>
        <a:stretch>
          <a:fillRect/>
        </a:stretch>
      </xdr:blipFill>
      <xdr:spPr>
        <a:xfrm>
          <a:off x="0" y="0"/>
          <a:ext cx="14607540" cy="8199120"/>
        </a:xfrm>
        <a:prstGeom prst="rect">
          <a:avLst/>
        </a:prstGeom>
      </xdr:spPr>
    </xdr:pic>
    <xdr:clientData/>
  </xdr:twoCellAnchor>
  <xdr:twoCellAnchor>
    <xdr:from>
      <xdr:col>0</xdr:col>
      <xdr:colOff>396240</xdr:colOff>
      <xdr:row>1</xdr:row>
      <xdr:rowOff>152400</xdr:rowOff>
    </xdr:from>
    <xdr:to>
      <xdr:col>4</xdr:col>
      <xdr:colOff>426720</xdr:colOff>
      <xdr:row>4</xdr:row>
      <xdr:rowOff>114300</xdr:rowOff>
    </xdr:to>
    <xdr:sp macro="" textlink="">
      <xdr:nvSpPr>
        <xdr:cNvPr id="7" name="Rectangle: Rounded Corners 6">
          <a:extLst>
            <a:ext uri="{FF2B5EF4-FFF2-40B4-BE49-F238E27FC236}">
              <a16:creationId xmlns:a16="http://schemas.microsoft.com/office/drawing/2014/main" id="{7AB79A9F-D0E3-1019-7486-051A0B358A22}"/>
            </a:ext>
          </a:extLst>
        </xdr:cNvPr>
        <xdr:cNvSpPr/>
      </xdr:nvSpPr>
      <xdr:spPr>
        <a:xfrm>
          <a:off x="396240" y="335280"/>
          <a:ext cx="2468880" cy="510540"/>
        </a:xfrm>
        <a:prstGeom prst="roundRect">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rgbClr val="FFC000"/>
              </a:solidFill>
            </a:rPr>
            <a:t>Rent Dashboard</a:t>
          </a:r>
          <a:r>
            <a:rPr lang="en-US" sz="2000" b="1" baseline="0">
              <a:solidFill>
                <a:srgbClr val="FFC000"/>
              </a:solidFill>
            </a:rPr>
            <a:t> 1</a:t>
          </a:r>
          <a:endParaRPr lang="en-US" sz="1100" b="1">
            <a:solidFill>
              <a:srgbClr val="FFC000"/>
            </a:solidFill>
          </a:endParaRPr>
        </a:p>
      </xdr:txBody>
    </xdr:sp>
    <xdr:clientData/>
  </xdr:twoCellAnchor>
  <xdr:twoCellAnchor>
    <xdr:from>
      <xdr:col>0</xdr:col>
      <xdr:colOff>518160</xdr:colOff>
      <xdr:row>6</xdr:row>
      <xdr:rowOff>7620</xdr:rowOff>
    </xdr:from>
    <xdr:to>
      <xdr:col>4</xdr:col>
      <xdr:colOff>311760</xdr:colOff>
      <xdr:row>31</xdr:row>
      <xdr:rowOff>15240</xdr:rowOff>
    </xdr:to>
    <xdr:sp macro="" textlink="">
      <xdr:nvSpPr>
        <xdr:cNvPr id="8" name="Rectangle: Rounded Corners 7">
          <a:extLst>
            <a:ext uri="{FF2B5EF4-FFF2-40B4-BE49-F238E27FC236}">
              <a16:creationId xmlns:a16="http://schemas.microsoft.com/office/drawing/2014/main" id="{696A015D-00F4-42E3-AFCF-D9A6893CF527}"/>
            </a:ext>
          </a:extLst>
        </xdr:cNvPr>
        <xdr:cNvSpPr/>
      </xdr:nvSpPr>
      <xdr:spPr>
        <a:xfrm>
          <a:off x="518160" y="1104900"/>
          <a:ext cx="2232000" cy="4579620"/>
        </a:xfrm>
        <a:prstGeom prst="roundRect">
          <a:avLst>
            <a:gd name="adj" fmla="val 8951"/>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0</xdr:col>
      <xdr:colOff>518160</xdr:colOff>
      <xdr:row>5</xdr:row>
      <xdr:rowOff>121920</xdr:rowOff>
    </xdr:from>
    <xdr:to>
      <xdr:col>4</xdr:col>
      <xdr:colOff>311760</xdr:colOff>
      <xdr:row>8</xdr:row>
      <xdr:rowOff>83820</xdr:rowOff>
    </xdr:to>
    <xdr:sp macro="" textlink="">
      <xdr:nvSpPr>
        <xdr:cNvPr id="9" name="Rectangle: Rounded Corners 8">
          <a:extLst>
            <a:ext uri="{FF2B5EF4-FFF2-40B4-BE49-F238E27FC236}">
              <a16:creationId xmlns:a16="http://schemas.microsoft.com/office/drawing/2014/main" id="{63174B1F-181F-4440-B9D2-EF7A78FC4FC4}"/>
            </a:ext>
          </a:extLst>
        </xdr:cNvPr>
        <xdr:cNvSpPr/>
      </xdr:nvSpPr>
      <xdr:spPr>
        <a:xfrm>
          <a:off x="518160" y="103632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 Rental</a:t>
          </a:r>
          <a:r>
            <a:rPr lang="en-US" sz="1400" b="1" baseline="0"/>
            <a:t> Listings</a:t>
          </a:r>
          <a:endParaRPr lang="en-US" sz="1100" b="1"/>
        </a:p>
      </xdr:txBody>
    </xdr:sp>
    <xdr:clientData/>
  </xdr:twoCellAnchor>
  <xdr:twoCellAnchor>
    <xdr:from>
      <xdr:col>0</xdr:col>
      <xdr:colOff>518160</xdr:colOff>
      <xdr:row>7</xdr:row>
      <xdr:rowOff>167640</xdr:rowOff>
    </xdr:from>
    <xdr:to>
      <xdr:col>4</xdr:col>
      <xdr:colOff>311760</xdr:colOff>
      <xdr:row>10</xdr:row>
      <xdr:rowOff>129540</xdr:rowOff>
    </xdr:to>
    <xdr:sp macro="" textlink="'Pivot Table Rent'!$O$2">
      <xdr:nvSpPr>
        <xdr:cNvPr id="10" name="Rectangle: Rounded Corners 9">
          <a:extLst>
            <a:ext uri="{FF2B5EF4-FFF2-40B4-BE49-F238E27FC236}">
              <a16:creationId xmlns:a16="http://schemas.microsoft.com/office/drawing/2014/main" id="{E0103B32-416F-4D18-81BB-A735F370D7DA}"/>
            </a:ext>
          </a:extLst>
        </xdr:cNvPr>
        <xdr:cNvSpPr/>
      </xdr:nvSpPr>
      <xdr:spPr>
        <a:xfrm>
          <a:off x="518160" y="144780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C7A171C-58ED-4106-AE05-EA1919D22E91}" type="TxLink">
            <a:rPr lang="en-US" sz="3600" b="1" i="0" u="none" strike="noStrike">
              <a:solidFill>
                <a:schemeClr val="bg1"/>
              </a:solidFill>
              <a:latin typeface="Calibri"/>
              <a:cs typeface="Calibri"/>
            </a:rPr>
            <a:pPr algn="ctr"/>
            <a:t>250</a:t>
          </a:fld>
          <a:endParaRPr lang="en-US" sz="8800" b="1">
            <a:solidFill>
              <a:schemeClr val="bg1"/>
            </a:solidFill>
          </a:endParaRPr>
        </a:p>
      </xdr:txBody>
    </xdr:sp>
    <xdr:clientData/>
  </xdr:twoCellAnchor>
  <xdr:twoCellAnchor>
    <xdr:from>
      <xdr:col>0</xdr:col>
      <xdr:colOff>518160</xdr:colOff>
      <xdr:row>11</xdr:row>
      <xdr:rowOff>144780</xdr:rowOff>
    </xdr:from>
    <xdr:to>
      <xdr:col>4</xdr:col>
      <xdr:colOff>311760</xdr:colOff>
      <xdr:row>14</xdr:row>
      <xdr:rowOff>106680</xdr:rowOff>
    </xdr:to>
    <xdr:sp macro="" textlink="">
      <xdr:nvSpPr>
        <xdr:cNvPr id="11" name="Rectangle: Rounded Corners 10">
          <a:extLst>
            <a:ext uri="{FF2B5EF4-FFF2-40B4-BE49-F238E27FC236}">
              <a16:creationId xmlns:a16="http://schemas.microsoft.com/office/drawing/2014/main" id="{74206014-09F1-497E-8169-2F41D2F00C0C}"/>
            </a:ext>
          </a:extLst>
        </xdr:cNvPr>
        <xdr:cNvSpPr/>
      </xdr:nvSpPr>
      <xdr:spPr>
        <a:xfrm>
          <a:off x="518160" y="215646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Median</a:t>
          </a:r>
          <a:r>
            <a:rPr lang="en-US" sz="1400" b="1" baseline="0"/>
            <a:t> Annual Rent</a:t>
          </a:r>
          <a:endParaRPr lang="en-US" sz="1400" b="1"/>
        </a:p>
      </xdr:txBody>
    </xdr:sp>
    <xdr:clientData/>
  </xdr:twoCellAnchor>
  <xdr:twoCellAnchor>
    <xdr:from>
      <xdr:col>0</xdr:col>
      <xdr:colOff>518160</xdr:colOff>
      <xdr:row>14</xdr:row>
      <xdr:rowOff>7620</xdr:rowOff>
    </xdr:from>
    <xdr:to>
      <xdr:col>4</xdr:col>
      <xdr:colOff>311760</xdr:colOff>
      <xdr:row>16</xdr:row>
      <xdr:rowOff>152400</xdr:rowOff>
    </xdr:to>
    <xdr:sp macro="" textlink="'Pivot Table Rent'!$O$3">
      <xdr:nvSpPr>
        <xdr:cNvPr id="12" name="Rectangle: Rounded Corners 11">
          <a:extLst>
            <a:ext uri="{FF2B5EF4-FFF2-40B4-BE49-F238E27FC236}">
              <a16:creationId xmlns:a16="http://schemas.microsoft.com/office/drawing/2014/main" id="{8D3B3A5C-90C8-4339-8904-FE415E01EC6E}"/>
            </a:ext>
          </a:extLst>
        </xdr:cNvPr>
        <xdr:cNvSpPr/>
      </xdr:nvSpPr>
      <xdr:spPr>
        <a:xfrm>
          <a:off x="518160" y="256794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23FE694-6A19-4DD1-BD4B-67D3215E9BA7}" type="TxLink">
            <a:rPr lang="en-US" sz="3600" b="1" i="0" u="none" strike="noStrike">
              <a:solidFill>
                <a:schemeClr val="bg1"/>
              </a:solidFill>
              <a:latin typeface="Calibri"/>
              <a:cs typeface="Calibri"/>
            </a:rPr>
            <a:pPr algn="ctr"/>
            <a:t>₦7.5M</a:t>
          </a:fld>
          <a:endParaRPr lang="en-US" sz="3600" b="1">
            <a:solidFill>
              <a:schemeClr val="bg1"/>
            </a:solidFill>
          </a:endParaRPr>
        </a:p>
      </xdr:txBody>
    </xdr:sp>
    <xdr:clientData/>
  </xdr:twoCellAnchor>
  <xdr:twoCellAnchor>
    <xdr:from>
      <xdr:col>0</xdr:col>
      <xdr:colOff>525780</xdr:colOff>
      <xdr:row>17</xdr:row>
      <xdr:rowOff>160020</xdr:rowOff>
    </xdr:from>
    <xdr:to>
      <xdr:col>4</xdr:col>
      <xdr:colOff>319380</xdr:colOff>
      <xdr:row>20</xdr:row>
      <xdr:rowOff>121920</xdr:rowOff>
    </xdr:to>
    <xdr:sp macro="" textlink="">
      <xdr:nvSpPr>
        <xdr:cNvPr id="13" name="Rectangle: Rounded Corners 12">
          <a:extLst>
            <a:ext uri="{FF2B5EF4-FFF2-40B4-BE49-F238E27FC236}">
              <a16:creationId xmlns:a16="http://schemas.microsoft.com/office/drawing/2014/main" id="{C00B3C52-1286-4074-B528-B8C04CA865B7}"/>
            </a:ext>
          </a:extLst>
        </xdr:cNvPr>
        <xdr:cNvSpPr/>
      </xdr:nvSpPr>
      <xdr:spPr>
        <a:xfrm>
          <a:off x="525780" y="326898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Minimum</a:t>
          </a:r>
          <a:r>
            <a:rPr lang="en-US" sz="1400" b="1" baseline="0"/>
            <a:t> Annual Rent</a:t>
          </a:r>
          <a:endParaRPr lang="en-US" sz="1400" b="1"/>
        </a:p>
      </xdr:txBody>
    </xdr:sp>
    <xdr:clientData/>
  </xdr:twoCellAnchor>
  <xdr:twoCellAnchor>
    <xdr:from>
      <xdr:col>0</xdr:col>
      <xdr:colOff>518160</xdr:colOff>
      <xdr:row>20</xdr:row>
      <xdr:rowOff>22860</xdr:rowOff>
    </xdr:from>
    <xdr:to>
      <xdr:col>4</xdr:col>
      <xdr:colOff>311760</xdr:colOff>
      <xdr:row>22</xdr:row>
      <xdr:rowOff>167640</xdr:rowOff>
    </xdr:to>
    <xdr:sp macro="" textlink="'Pivot Table Rent'!$O$4">
      <xdr:nvSpPr>
        <xdr:cNvPr id="14" name="Rectangle: Rounded Corners 13">
          <a:extLst>
            <a:ext uri="{FF2B5EF4-FFF2-40B4-BE49-F238E27FC236}">
              <a16:creationId xmlns:a16="http://schemas.microsoft.com/office/drawing/2014/main" id="{8CAA009F-590E-4842-81D4-88119A70635A}"/>
            </a:ext>
          </a:extLst>
        </xdr:cNvPr>
        <xdr:cNvSpPr/>
      </xdr:nvSpPr>
      <xdr:spPr>
        <a:xfrm>
          <a:off x="518160" y="368046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18A2DFF-BA94-47E9-A717-F8F371711536}" type="TxLink">
            <a:rPr lang="en-US" sz="3600" b="1" i="0" u="none" strike="noStrike">
              <a:solidFill>
                <a:schemeClr val="bg1"/>
              </a:solidFill>
              <a:latin typeface="Calibri"/>
              <a:cs typeface="Calibri"/>
            </a:rPr>
            <a:pPr algn="ctr"/>
            <a:t>₦800K</a:t>
          </a:fld>
          <a:endParaRPr lang="en-US" sz="3600" b="1">
            <a:solidFill>
              <a:schemeClr val="bg1"/>
            </a:solidFill>
          </a:endParaRPr>
        </a:p>
      </xdr:txBody>
    </xdr:sp>
    <xdr:clientData/>
  </xdr:twoCellAnchor>
  <xdr:twoCellAnchor>
    <xdr:from>
      <xdr:col>0</xdr:col>
      <xdr:colOff>525780</xdr:colOff>
      <xdr:row>23</xdr:row>
      <xdr:rowOff>152400</xdr:rowOff>
    </xdr:from>
    <xdr:to>
      <xdr:col>4</xdr:col>
      <xdr:colOff>319380</xdr:colOff>
      <xdr:row>26</xdr:row>
      <xdr:rowOff>114300</xdr:rowOff>
    </xdr:to>
    <xdr:sp macro="" textlink="">
      <xdr:nvSpPr>
        <xdr:cNvPr id="15" name="Rectangle: Rounded Corners 14">
          <a:extLst>
            <a:ext uri="{FF2B5EF4-FFF2-40B4-BE49-F238E27FC236}">
              <a16:creationId xmlns:a16="http://schemas.microsoft.com/office/drawing/2014/main" id="{6CE9B29C-43A3-4185-A3B2-7C897FF66125}"/>
            </a:ext>
          </a:extLst>
        </xdr:cNvPr>
        <xdr:cNvSpPr/>
      </xdr:nvSpPr>
      <xdr:spPr>
        <a:xfrm>
          <a:off x="525780" y="435864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Maximum</a:t>
          </a:r>
          <a:r>
            <a:rPr lang="en-US" sz="1400" b="1" baseline="0"/>
            <a:t> Annual Rent</a:t>
          </a:r>
          <a:endParaRPr lang="en-US" sz="1400" b="1"/>
        </a:p>
      </xdr:txBody>
    </xdr:sp>
    <xdr:clientData/>
  </xdr:twoCellAnchor>
  <xdr:twoCellAnchor>
    <xdr:from>
      <xdr:col>0</xdr:col>
      <xdr:colOff>525780</xdr:colOff>
      <xdr:row>26</xdr:row>
      <xdr:rowOff>7620</xdr:rowOff>
    </xdr:from>
    <xdr:to>
      <xdr:col>4</xdr:col>
      <xdr:colOff>319380</xdr:colOff>
      <xdr:row>28</xdr:row>
      <xdr:rowOff>152400</xdr:rowOff>
    </xdr:to>
    <xdr:sp macro="" textlink="'Pivot Table Rent'!$O$5">
      <xdr:nvSpPr>
        <xdr:cNvPr id="16" name="Rectangle: Rounded Corners 15">
          <a:extLst>
            <a:ext uri="{FF2B5EF4-FFF2-40B4-BE49-F238E27FC236}">
              <a16:creationId xmlns:a16="http://schemas.microsoft.com/office/drawing/2014/main" id="{A12F5501-9F8C-43DB-B807-8CDC50E6A90B}"/>
            </a:ext>
          </a:extLst>
        </xdr:cNvPr>
        <xdr:cNvSpPr/>
      </xdr:nvSpPr>
      <xdr:spPr>
        <a:xfrm>
          <a:off x="525780" y="476250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D6D2A4C-E516-4AF9-91E4-88B2CBC874A3}" type="TxLink">
            <a:rPr lang="en-US" sz="3600" b="1" i="0" u="none" strike="noStrike">
              <a:solidFill>
                <a:schemeClr val="bg1"/>
              </a:solidFill>
              <a:latin typeface="Calibri"/>
              <a:cs typeface="Calibri"/>
            </a:rPr>
            <a:pPr algn="ctr"/>
            <a:t>₦250.0M</a:t>
          </a:fld>
          <a:endParaRPr lang="en-US" sz="3600" b="1">
            <a:solidFill>
              <a:schemeClr val="bg1"/>
            </a:solidFill>
          </a:endParaRPr>
        </a:p>
      </xdr:txBody>
    </xdr:sp>
    <xdr:clientData/>
  </xdr:twoCellAnchor>
  <xdr:twoCellAnchor>
    <xdr:from>
      <xdr:col>1</xdr:col>
      <xdr:colOff>45720</xdr:colOff>
      <xdr:row>10</xdr:row>
      <xdr:rowOff>175260</xdr:rowOff>
    </xdr:from>
    <xdr:to>
      <xdr:col>4</xdr:col>
      <xdr:colOff>160920</xdr:colOff>
      <xdr:row>10</xdr:row>
      <xdr:rowOff>175260</xdr:rowOff>
    </xdr:to>
    <xdr:cxnSp macro="">
      <xdr:nvCxnSpPr>
        <xdr:cNvPr id="18" name="Straight Connector 17">
          <a:extLst>
            <a:ext uri="{FF2B5EF4-FFF2-40B4-BE49-F238E27FC236}">
              <a16:creationId xmlns:a16="http://schemas.microsoft.com/office/drawing/2014/main" id="{A8C648F5-8CA4-B372-078C-1C0CA3F3B362}"/>
            </a:ext>
          </a:extLst>
        </xdr:cNvPr>
        <xdr:cNvCxnSpPr/>
      </xdr:nvCxnSpPr>
      <xdr:spPr>
        <a:xfrm>
          <a:off x="655320" y="200406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45720</xdr:colOff>
      <xdr:row>17</xdr:row>
      <xdr:rowOff>30480</xdr:rowOff>
    </xdr:from>
    <xdr:to>
      <xdr:col>4</xdr:col>
      <xdr:colOff>160920</xdr:colOff>
      <xdr:row>17</xdr:row>
      <xdr:rowOff>30480</xdr:rowOff>
    </xdr:to>
    <xdr:cxnSp macro="">
      <xdr:nvCxnSpPr>
        <xdr:cNvPr id="19" name="Straight Connector 18">
          <a:extLst>
            <a:ext uri="{FF2B5EF4-FFF2-40B4-BE49-F238E27FC236}">
              <a16:creationId xmlns:a16="http://schemas.microsoft.com/office/drawing/2014/main" id="{FA3066A0-FABD-4191-9B0C-D2D196B48EEE}"/>
            </a:ext>
          </a:extLst>
        </xdr:cNvPr>
        <xdr:cNvCxnSpPr/>
      </xdr:nvCxnSpPr>
      <xdr:spPr>
        <a:xfrm>
          <a:off x="655320" y="313944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45720</xdr:colOff>
      <xdr:row>23</xdr:row>
      <xdr:rowOff>38100</xdr:rowOff>
    </xdr:from>
    <xdr:to>
      <xdr:col>4</xdr:col>
      <xdr:colOff>160920</xdr:colOff>
      <xdr:row>23</xdr:row>
      <xdr:rowOff>38100</xdr:rowOff>
    </xdr:to>
    <xdr:cxnSp macro="">
      <xdr:nvCxnSpPr>
        <xdr:cNvPr id="20" name="Straight Connector 19">
          <a:extLst>
            <a:ext uri="{FF2B5EF4-FFF2-40B4-BE49-F238E27FC236}">
              <a16:creationId xmlns:a16="http://schemas.microsoft.com/office/drawing/2014/main" id="{CF72F834-BAD3-48D6-97B5-418207F9AE96}"/>
            </a:ext>
          </a:extLst>
        </xdr:cNvPr>
        <xdr:cNvCxnSpPr/>
      </xdr:nvCxnSpPr>
      <xdr:spPr>
        <a:xfrm>
          <a:off x="655320" y="424434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45720</xdr:colOff>
      <xdr:row>29</xdr:row>
      <xdr:rowOff>38100</xdr:rowOff>
    </xdr:from>
    <xdr:to>
      <xdr:col>4</xdr:col>
      <xdr:colOff>160920</xdr:colOff>
      <xdr:row>29</xdr:row>
      <xdr:rowOff>38100</xdr:rowOff>
    </xdr:to>
    <xdr:cxnSp macro="">
      <xdr:nvCxnSpPr>
        <xdr:cNvPr id="21" name="Straight Connector 20">
          <a:extLst>
            <a:ext uri="{FF2B5EF4-FFF2-40B4-BE49-F238E27FC236}">
              <a16:creationId xmlns:a16="http://schemas.microsoft.com/office/drawing/2014/main" id="{616DC955-3AFA-4BEB-AB45-BD5D44E168D5}"/>
            </a:ext>
          </a:extLst>
        </xdr:cNvPr>
        <xdr:cNvCxnSpPr/>
      </xdr:nvCxnSpPr>
      <xdr:spPr>
        <a:xfrm>
          <a:off x="655320" y="534162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xdr:col>
      <xdr:colOff>373380</xdr:colOff>
      <xdr:row>6</xdr:row>
      <xdr:rowOff>7620</xdr:rowOff>
    </xdr:from>
    <xdr:to>
      <xdr:col>11</xdr:col>
      <xdr:colOff>174180</xdr:colOff>
      <xdr:row>35</xdr:row>
      <xdr:rowOff>176100</xdr:rowOff>
    </xdr:to>
    <xdr:sp macro="" textlink="">
      <xdr:nvSpPr>
        <xdr:cNvPr id="23" name="Rectangle: Rounded Corners 22">
          <a:extLst>
            <a:ext uri="{FF2B5EF4-FFF2-40B4-BE49-F238E27FC236}">
              <a16:creationId xmlns:a16="http://schemas.microsoft.com/office/drawing/2014/main" id="{0F1DB74B-E331-40E8-BDA9-A5E6E9AA2693}"/>
            </a:ext>
          </a:extLst>
        </xdr:cNvPr>
        <xdr:cNvSpPr/>
      </xdr:nvSpPr>
      <xdr:spPr>
        <a:xfrm>
          <a:off x="2811780" y="1104900"/>
          <a:ext cx="4068000" cy="5472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4</xdr:col>
      <xdr:colOff>320040</xdr:colOff>
      <xdr:row>8</xdr:row>
      <xdr:rowOff>76200</xdr:rowOff>
    </xdr:from>
    <xdr:to>
      <xdr:col>11</xdr:col>
      <xdr:colOff>106680</xdr:colOff>
      <xdr:row>35</xdr:row>
      <xdr:rowOff>0</xdr:rowOff>
    </xdr:to>
    <xdr:graphicFrame macro="">
      <xdr:nvGraphicFramePr>
        <xdr:cNvPr id="22" name="Chart 21">
          <a:extLst>
            <a:ext uri="{FF2B5EF4-FFF2-40B4-BE49-F238E27FC236}">
              <a16:creationId xmlns:a16="http://schemas.microsoft.com/office/drawing/2014/main" id="{1FA298F7-B004-4C55-B82B-4399E0A67D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518160</xdr:colOff>
      <xdr:row>32</xdr:row>
      <xdr:rowOff>30480</xdr:rowOff>
    </xdr:from>
    <xdr:to>
      <xdr:col>4</xdr:col>
      <xdr:colOff>311760</xdr:colOff>
      <xdr:row>35</xdr:row>
      <xdr:rowOff>57840</xdr:rowOff>
    </xdr:to>
    <xdr:sp macro="" textlink="">
      <xdr:nvSpPr>
        <xdr:cNvPr id="24" name="Rectangle: Rounded Corners 23">
          <a:extLst>
            <a:ext uri="{FF2B5EF4-FFF2-40B4-BE49-F238E27FC236}">
              <a16:creationId xmlns:a16="http://schemas.microsoft.com/office/drawing/2014/main" id="{28B05738-FA1D-45BF-99C9-BCE4ECA16BD9}"/>
            </a:ext>
          </a:extLst>
        </xdr:cNvPr>
        <xdr:cNvSpPr/>
      </xdr:nvSpPr>
      <xdr:spPr>
        <a:xfrm>
          <a:off x="518160" y="5882640"/>
          <a:ext cx="2232000" cy="576000"/>
        </a:xfrm>
        <a:prstGeom prst="roundRect">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p>
      </xdr:txBody>
    </xdr:sp>
    <xdr:clientData/>
  </xdr:twoCellAnchor>
  <xdr:twoCellAnchor>
    <xdr:from>
      <xdr:col>4</xdr:col>
      <xdr:colOff>365760</xdr:colOff>
      <xdr:row>6</xdr:row>
      <xdr:rowOff>0</xdr:rowOff>
    </xdr:from>
    <xdr:to>
      <xdr:col>11</xdr:col>
      <xdr:colOff>175260</xdr:colOff>
      <xdr:row>8</xdr:row>
      <xdr:rowOff>144780</xdr:rowOff>
    </xdr:to>
    <xdr:sp macro="" textlink="'Pivot Table Rent'!$A$3:$B$3">
      <xdr:nvSpPr>
        <xdr:cNvPr id="25" name="Rectangle: Rounded Corners 24">
          <a:extLst>
            <a:ext uri="{FF2B5EF4-FFF2-40B4-BE49-F238E27FC236}">
              <a16:creationId xmlns:a16="http://schemas.microsoft.com/office/drawing/2014/main" id="{58BB8BED-D3B5-43EB-B1FE-A31C0DAFA53F}"/>
            </a:ext>
          </a:extLst>
        </xdr:cNvPr>
        <xdr:cNvSpPr/>
      </xdr:nvSpPr>
      <xdr:spPr>
        <a:xfrm>
          <a:off x="2804160" y="1097280"/>
          <a:ext cx="40767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44207D4-FD13-42C1-AB7B-B941CD03A984}" type="TxLink">
            <a:rPr lang="en-US" sz="1200" b="1" i="0" u="none" strike="noStrike">
              <a:solidFill>
                <a:schemeClr val="bg1"/>
              </a:solidFill>
              <a:latin typeface="Calibri"/>
              <a:cs typeface="Calibri"/>
            </a:rPr>
            <a:pPr algn="ctr"/>
            <a:t>Median Annual rent by Area (Maitama Leads with ₦50.0M)</a:t>
          </a:fld>
          <a:endParaRPr lang="en-US" sz="1200" b="1">
            <a:solidFill>
              <a:schemeClr val="bg1"/>
            </a:solidFill>
          </a:endParaRPr>
        </a:p>
      </xdr:txBody>
    </xdr:sp>
    <xdr:clientData/>
  </xdr:twoCellAnchor>
  <xdr:twoCellAnchor>
    <xdr:from>
      <xdr:col>4</xdr:col>
      <xdr:colOff>518160</xdr:colOff>
      <xdr:row>0</xdr:row>
      <xdr:rowOff>137160</xdr:rowOff>
    </xdr:from>
    <xdr:to>
      <xdr:col>23</xdr:col>
      <xdr:colOff>95760</xdr:colOff>
      <xdr:row>5</xdr:row>
      <xdr:rowOff>122760</xdr:rowOff>
    </xdr:to>
    <xdr:sp macro="" textlink="">
      <xdr:nvSpPr>
        <xdr:cNvPr id="26" name="Rectangle: Rounded Corners 25">
          <a:extLst>
            <a:ext uri="{FF2B5EF4-FFF2-40B4-BE49-F238E27FC236}">
              <a16:creationId xmlns:a16="http://schemas.microsoft.com/office/drawing/2014/main" id="{913DBF76-82EE-44BE-9397-ACAE034C7F51}"/>
            </a:ext>
          </a:extLst>
        </xdr:cNvPr>
        <xdr:cNvSpPr/>
      </xdr:nvSpPr>
      <xdr:spPr>
        <a:xfrm>
          <a:off x="2956560" y="137160"/>
          <a:ext cx="11160000" cy="900000"/>
        </a:xfrm>
        <a:prstGeom prst="roundRect">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solidFill>
              <a:srgbClr val="FFC000"/>
            </a:solidFill>
          </a:endParaRPr>
        </a:p>
      </xdr:txBody>
    </xdr:sp>
    <xdr:clientData/>
  </xdr:twoCellAnchor>
  <xdr:twoCellAnchor>
    <xdr:from>
      <xdr:col>0</xdr:col>
      <xdr:colOff>495300</xdr:colOff>
      <xdr:row>36</xdr:row>
      <xdr:rowOff>68580</xdr:rowOff>
    </xdr:from>
    <xdr:to>
      <xdr:col>23</xdr:col>
      <xdr:colOff>152400</xdr:colOff>
      <xdr:row>39</xdr:row>
      <xdr:rowOff>95940</xdr:rowOff>
    </xdr:to>
    <xdr:sp macro="" textlink="">
      <xdr:nvSpPr>
        <xdr:cNvPr id="27" name="Rectangle: Rounded Corners 26">
          <a:extLst>
            <a:ext uri="{FF2B5EF4-FFF2-40B4-BE49-F238E27FC236}">
              <a16:creationId xmlns:a16="http://schemas.microsoft.com/office/drawing/2014/main" id="{D024AEC3-CE6F-4EAB-91B6-C5F7AC6A6414}"/>
            </a:ext>
          </a:extLst>
        </xdr:cNvPr>
        <xdr:cNvSpPr/>
      </xdr:nvSpPr>
      <xdr:spPr>
        <a:xfrm>
          <a:off x="495300" y="6652260"/>
          <a:ext cx="13677900" cy="576000"/>
        </a:xfrm>
        <a:prstGeom prst="roundRect">
          <a:avLst/>
        </a:prstGeom>
        <a:solidFill>
          <a:schemeClr val="tx1">
            <a:alpha val="9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Median annual rent in Maitama (₦50M) is 1,329% higher than in Kubwa (₦3.5M). Meanwhile, ten-bedroom listings have a median rent of ₦250M, compared with ₦2M for one-bedroom listings. Developers should assess location and bedroom category together when setting rental targets, while checking sample sizes and comparing similar properties.</a:t>
          </a:r>
        </a:p>
      </xdr:txBody>
    </xdr:sp>
    <xdr:clientData/>
  </xdr:twoCellAnchor>
  <xdr:twoCellAnchor>
    <xdr:from>
      <xdr:col>11</xdr:col>
      <xdr:colOff>236220</xdr:colOff>
      <xdr:row>6</xdr:row>
      <xdr:rowOff>7620</xdr:rowOff>
    </xdr:from>
    <xdr:to>
      <xdr:col>17</xdr:col>
      <xdr:colOff>286620</xdr:colOff>
      <xdr:row>22</xdr:row>
      <xdr:rowOff>177540</xdr:rowOff>
    </xdr:to>
    <xdr:sp macro="" textlink="">
      <xdr:nvSpPr>
        <xdr:cNvPr id="28" name="Rectangle: Rounded Corners 27">
          <a:extLst>
            <a:ext uri="{FF2B5EF4-FFF2-40B4-BE49-F238E27FC236}">
              <a16:creationId xmlns:a16="http://schemas.microsoft.com/office/drawing/2014/main" id="{9AB980D8-C5E1-4217-81CE-565013CF7964}"/>
            </a:ext>
          </a:extLst>
        </xdr:cNvPr>
        <xdr:cNvSpPr/>
      </xdr:nvSpPr>
      <xdr:spPr>
        <a:xfrm>
          <a:off x="6941820" y="1104900"/>
          <a:ext cx="3708000" cy="3096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11</xdr:col>
      <xdr:colOff>236220</xdr:colOff>
      <xdr:row>23</xdr:row>
      <xdr:rowOff>76200</xdr:rowOff>
    </xdr:from>
    <xdr:to>
      <xdr:col>23</xdr:col>
      <xdr:colOff>99060</xdr:colOff>
      <xdr:row>36</xdr:row>
      <xdr:rowOff>2760</xdr:rowOff>
    </xdr:to>
    <xdr:sp macro="" textlink="">
      <xdr:nvSpPr>
        <xdr:cNvPr id="29" name="Rectangle: Rounded Corners 28">
          <a:extLst>
            <a:ext uri="{FF2B5EF4-FFF2-40B4-BE49-F238E27FC236}">
              <a16:creationId xmlns:a16="http://schemas.microsoft.com/office/drawing/2014/main" id="{D0948504-E9E4-466A-B3AF-3D406FA0A86B}"/>
            </a:ext>
          </a:extLst>
        </xdr:cNvPr>
        <xdr:cNvSpPr/>
      </xdr:nvSpPr>
      <xdr:spPr>
        <a:xfrm>
          <a:off x="6941820" y="4282440"/>
          <a:ext cx="7178040" cy="2304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11</xdr:col>
      <xdr:colOff>220980</xdr:colOff>
      <xdr:row>25</xdr:row>
      <xdr:rowOff>22860</xdr:rowOff>
    </xdr:from>
    <xdr:to>
      <xdr:col>22</xdr:col>
      <xdr:colOff>594360</xdr:colOff>
      <xdr:row>36</xdr:row>
      <xdr:rowOff>15240</xdr:rowOff>
    </xdr:to>
    <xdr:graphicFrame macro="">
      <xdr:nvGraphicFramePr>
        <xdr:cNvPr id="2" name="Chart 1">
          <a:extLst>
            <a:ext uri="{FF2B5EF4-FFF2-40B4-BE49-F238E27FC236}">
              <a16:creationId xmlns:a16="http://schemas.microsoft.com/office/drawing/2014/main" id="{B1C09925-3BC8-4EEA-940A-30BEE7EDB5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190500</xdr:colOff>
      <xdr:row>22</xdr:row>
      <xdr:rowOff>175260</xdr:rowOff>
    </xdr:from>
    <xdr:to>
      <xdr:col>23</xdr:col>
      <xdr:colOff>129540</xdr:colOff>
      <xdr:row>25</xdr:row>
      <xdr:rowOff>137160</xdr:rowOff>
    </xdr:to>
    <xdr:sp macro="" textlink="'Pivot Table Rent'!$D$47:$E$47">
      <xdr:nvSpPr>
        <xdr:cNvPr id="3" name="Rectangle: Rounded Corners 2">
          <a:extLst>
            <a:ext uri="{FF2B5EF4-FFF2-40B4-BE49-F238E27FC236}">
              <a16:creationId xmlns:a16="http://schemas.microsoft.com/office/drawing/2014/main" id="{7374D975-B5B4-4AB4-A9C5-1505B499647F}"/>
            </a:ext>
          </a:extLst>
        </xdr:cNvPr>
        <xdr:cNvSpPr/>
      </xdr:nvSpPr>
      <xdr:spPr>
        <a:xfrm>
          <a:off x="6896100" y="4198620"/>
          <a:ext cx="725424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29B5185-C8D3-4D4D-91A5-BA92E8E9774C}" type="TxLink">
            <a:rPr lang="en-US" sz="1400" b="1" i="0" u="none" strike="noStrike">
              <a:solidFill>
                <a:schemeClr val="bg1"/>
              </a:solidFill>
              <a:latin typeface="Calibri"/>
              <a:cs typeface="Calibri"/>
            </a:rPr>
            <a:pPr algn="ctr"/>
            <a:t>Median Annual rent by Property Type (Detached Duplex Leads with ₦20.0M)</a:t>
          </a:fld>
          <a:endParaRPr lang="en-US" sz="1100" b="1">
            <a:solidFill>
              <a:schemeClr val="bg1"/>
            </a:solidFill>
          </a:endParaRPr>
        </a:p>
      </xdr:txBody>
    </xdr:sp>
    <xdr:clientData/>
  </xdr:twoCellAnchor>
  <xdr:twoCellAnchor>
    <xdr:from>
      <xdr:col>11</xdr:col>
      <xdr:colOff>228600</xdr:colOff>
      <xdr:row>7</xdr:row>
      <xdr:rowOff>175260</xdr:rowOff>
    </xdr:from>
    <xdr:to>
      <xdr:col>17</xdr:col>
      <xdr:colOff>171000</xdr:colOff>
      <xdr:row>22</xdr:row>
      <xdr:rowOff>175260</xdr:rowOff>
    </xdr:to>
    <xdr:graphicFrame macro="">
      <xdr:nvGraphicFramePr>
        <xdr:cNvPr id="5" name="Chart 4">
          <a:extLst>
            <a:ext uri="{FF2B5EF4-FFF2-40B4-BE49-F238E27FC236}">
              <a16:creationId xmlns:a16="http://schemas.microsoft.com/office/drawing/2014/main" id="{7B71BB6D-E8D0-4F8C-B495-7EFDE510B6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198120</xdr:colOff>
      <xdr:row>5</xdr:row>
      <xdr:rowOff>121920</xdr:rowOff>
    </xdr:from>
    <xdr:to>
      <xdr:col>17</xdr:col>
      <xdr:colOff>320520</xdr:colOff>
      <xdr:row>8</xdr:row>
      <xdr:rowOff>149280</xdr:rowOff>
    </xdr:to>
    <xdr:sp macro="" textlink="'Pivot Table Rent'!$D$25:$E$25">
      <xdr:nvSpPr>
        <xdr:cNvPr id="17" name="Rectangle: Rounded Corners 16">
          <a:extLst>
            <a:ext uri="{FF2B5EF4-FFF2-40B4-BE49-F238E27FC236}">
              <a16:creationId xmlns:a16="http://schemas.microsoft.com/office/drawing/2014/main" id="{9B768E75-DDA4-47E4-83BB-ECEE523459BF}"/>
            </a:ext>
          </a:extLst>
        </xdr:cNvPr>
        <xdr:cNvSpPr/>
      </xdr:nvSpPr>
      <xdr:spPr>
        <a:xfrm>
          <a:off x="6903720" y="1036320"/>
          <a:ext cx="3780000" cy="576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453F11E-97D9-443B-B3BB-1157A8D618E2}" type="TxLink">
            <a:rPr lang="en-US" sz="1200" b="1" i="0" u="none" strike="noStrike">
              <a:solidFill>
                <a:schemeClr val="bg1"/>
              </a:solidFill>
              <a:latin typeface="Calibri"/>
              <a:cs typeface="Calibri"/>
            </a:rPr>
            <a:pPr algn="ctr"/>
            <a:t>Median Annual rent by Bedroom Count (10 Bedroom Leads with ₦250.0M)</a:t>
          </a:fld>
          <a:endParaRPr lang="en-US" sz="1100" b="1">
            <a:solidFill>
              <a:schemeClr val="bg1"/>
            </a:solidFill>
          </a:endParaRPr>
        </a:p>
      </xdr:txBody>
    </xdr:sp>
    <xdr:clientData/>
  </xdr:twoCellAnchor>
  <xdr:twoCellAnchor>
    <xdr:from>
      <xdr:col>17</xdr:col>
      <xdr:colOff>373380</xdr:colOff>
      <xdr:row>6</xdr:row>
      <xdr:rowOff>7620</xdr:rowOff>
    </xdr:from>
    <xdr:to>
      <xdr:col>23</xdr:col>
      <xdr:colOff>99780</xdr:colOff>
      <xdr:row>22</xdr:row>
      <xdr:rowOff>177540</xdr:rowOff>
    </xdr:to>
    <xdr:sp macro="" textlink="">
      <xdr:nvSpPr>
        <xdr:cNvPr id="30" name="Rectangle: Rounded Corners 29">
          <a:extLst>
            <a:ext uri="{FF2B5EF4-FFF2-40B4-BE49-F238E27FC236}">
              <a16:creationId xmlns:a16="http://schemas.microsoft.com/office/drawing/2014/main" id="{FEFC75C0-541E-4FCF-B040-E466C78FD4D3}"/>
            </a:ext>
          </a:extLst>
        </xdr:cNvPr>
        <xdr:cNvSpPr/>
      </xdr:nvSpPr>
      <xdr:spPr>
        <a:xfrm>
          <a:off x="10736580" y="1104900"/>
          <a:ext cx="3384000" cy="3096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17</xdr:col>
      <xdr:colOff>342900</xdr:colOff>
      <xdr:row>9</xdr:row>
      <xdr:rowOff>121920</xdr:rowOff>
    </xdr:from>
    <xdr:to>
      <xdr:col>23</xdr:col>
      <xdr:colOff>141300</xdr:colOff>
      <xdr:row>22</xdr:row>
      <xdr:rowOff>175260</xdr:rowOff>
    </xdr:to>
    <xdr:graphicFrame macro="">
      <xdr:nvGraphicFramePr>
        <xdr:cNvPr id="31" name="Chart 30">
          <a:extLst>
            <a:ext uri="{FF2B5EF4-FFF2-40B4-BE49-F238E27FC236}">
              <a16:creationId xmlns:a16="http://schemas.microsoft.com/office/drawing/2014/main" id="{D1E915F7-1F3C-4CEF-B949-6D9412FD0E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358140</xdr:colOff>
      <xdr:row>5</xdr:row>
      <xdr:rowOff>114300</xdr:rowOff>
    </xdr:from>
    <xdr:to>
      <xdr:col>23</xdr:col>
      <xdr:colOff>120540</xdr:colOff>
      <xdr:row>9</xdr:row>
      <xdr:rowOff>30780</xdr:rowOff>
    </xdr:to>
    <xdr:sp macro="" textlink="'Pivot Table Rent'!$D$3:$E$3">
      <xdr:nvSpPr>
        <xdr:cNvPr id="32" name="Rectangle: Rounded Corners 31">
          <a:extLst>
            <a:ext uri="{FF2B5EF4-FFF2-40B4-BE49-F238E27FC236}">
              <a16:creationId xmlns:a16="http://schemas.microsoft.com/office/drawing/2014/main" id="{14948CB0-4033-4180-998F-5CC2EF27EBD9}"/>
            </a:ext>
          </a:extLst>
        </xdr:cNvPr>
        <xdr:cNvSpPr/>
      </xdr:nvSpPr>
      <xdr:spPr>
        <a:xfrm>
          <a:off x="10721340" y="1028700"/>
          <a:ext cx="3420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AB5329A-8655-4439-94A6-A2DFBA15AB29}" type="TxLink">
            <a:rPr lang="en-US" sz="1200" b="1" i="0" u="none" strike="noStrike">
              <a:solidFill>
                <a:schemeClr val="bg1"/>
              </a:solidFill>
              <a:latin typeface="Calibri"/>
              <a:cs typeface="Calibri"/>
            </a:rPr>
            <a:pPr algn="ctr"/>
            <a:t>Rental Listings by Price Tier (₦5M to below ₦15M Leads with 97 Listings)</a:t>
          </a:fld>
          <a:endParaRPr lang="en-US" sz="1200" b="1">
            <a:solidFill>
              <a:schemeClr val="bg1"/>
            </a:solidFill>
          </a:endParaRPr>
        </a:p>
      </xdr:txBody>
    </xdr:sp>
    <xdr:clientData/>
  </xdr:twoCellAnchor>
  <xdr:twoCellAnchor editAs="oneCell">
    <xdr:from>
      <xdr:col>5</xdr:col>
      <xdr:colOff>22860</xdr:colOff>
      <xdr:row>1</xdr:row>
      <xdr:rowOff>60960</xdr:rowOff>
    </xdr:from>
    <xdr:to>
      <xdr:col>18</xdr:col>
      <xdr:colOff>270060</xdr:colOff>
      <xdr:row>5</xdr:row>
      <xdr:rowOff>13440</xdr:rowOff>
    </xdr:to>
    <mc:AlternateContent xmlns:mc="http://schemas.openxmlformats.org/markup-compatibility/2006" xmlns:a14="http://schemas.microsoft.com/office/drawing/2010/main">
      <mc:Choice Requires="a14">
        <xdr:graphicFrame macro="">
          <xdr:nvGraphicFramePr>
            <xdr:cNvPr id="33" name="area 1">
              <a:extLst>
                <a:ext uri="{FF2B5EF4-FFF2-40B4-BE49-F238E27FC236}">
                  <a16:creationId xmlns:a16="http://schemas.microsoft.com/office/drawing/2014/main" id="{4BCB5BDA-C6C8-4649-84F9-ECF940C14F72}"/>
                </a:ext>
              </a:extLst>
            </xdr:cNvPr>
            <xdr:cNvGraphicFramePr/>
          </xdr:nvGraphicFramePr>
          <xdr:xfrm>
            <a:off x="0" y="0"/>
            <a:ext cx="0" cy="0"/>
          </xdr:xfrm>
          <a:graphic>
            <a:graphicData uri="http://schemas.microsoft.com/office/drawing/2010/slicer">
              <sle:slicer xmlns:sle="http://schemas.microsoft.com/office/drawing/2010/slicer" name="area 1"/>
            </a:graphicData>
          </a:graphic>
        </xdr:graphicFrame>
      </mc:Choice>
      <mc:Fallback xmlns="">
        <xdr:sp macro="" textlink="">
          <xdr:nvSpPr>
            <xdr:cNvPr id="0" name=""/>
            <xdr:cNvSpPr>
              <a:spLocks noTextEdit="1"/>
            </xdr:cNvSpPr>
          </xdr:nvSpPr>
          <xdr:spPr>
            <a:xfrm>
              <a:off x="3070860" y="243840"/>
              <a:ext cx="8172000" cy="68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541020</xdr:colOff>
      <xdr:row>0</xdr:row>
      <xdr:rowOff>167640</xdr:rowOff>
    </xdr:from>
    <xdr:to>
      <xdr:col>22</xdr:col>
      <xdr:colOff>334620</xdr:colOff>
      <xdr:row>5</xdr:row>
      <xdr:rowOff>81240</xdr:rowOff>
    </xdr:to>
    <mc:AlternateContent xmlns:mc="http://schemas.openxmlformats.org/markup-compatibility/2006" xmlns:a14="http://schemas.microsoft.com/office/drawing/2010/main">
      <mc:Choice Requires="a14">
        <xdr:graphicFrame macro="">
          <xdr:nvGraphicFramePr>
            <xdr:cNvPr id="34" name="Price Tier 1">
              <a:extLst>
                <a:ext uri="{FF2B5EF4-FFF2-40B4-BE49-F238E27FC236}">
                  <a16:creationId xmlns:a16="http://schemas.microsoft.com/office/drawing/2014/main" id="{370F3CC3-0A4C-455D-B1B8-55D9FF0CB464}"/>
                </a:ext>
              </a:extLst>
            </xdr:cNvPr>
            <xdr:cNvGraphicFramePr/>
          </xdr:nvGraphicFramePr>
          <xdr:xfrm>
            <a:off x="0" y="0"/>
            <a:ext cx="0" cy="0"/>
          </xdr:xfrm>
          <a:graphic>
            <a:graphicData uri="http://schemas.microsoft.com/office/drawing/2010/slicer">
              <sle:slicer xmlns:sle="http://schemas.microsoft.com/office/drawing/2010/slicer" name="Price Tier 1"/>
            </a:graphicData>
          </a:graphic>
        </xdr:graphicFrame>
      </mc:Choice>
      <mc:Fallback xmlns="">
        <xdr:sp macro="" textlink="">
          <xdr:nvSpPr>
            <xdr:cNvPr id="0" name=""/>
            <xdr:cNvSpPr>
              <a:spLocks noTextEdit="1"/>
            </xdr:cNvSpPr>
          </xdr:nvSpPr>
          <xdr:spPr>
            <a:xfrm>
              <a:off x="11513820" y="167640"/>
              <a:ext cx="2232000" cy="82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464820</xdr:colOff>
      <xdr:row>31</xdr:row>
      <xdr:rowOff>175260</xdr:rowOff>
    </xdr:from>
    <xdr:to>
      <xdr:col>1</xdr:col>
      <xdr:colOff>431220</xdr:colOff>
      <xdr:row>35</xdr:row>
      <xdr:rowOff>91740</xdr:rowOff>
    </xdr:to>
    <xdr:sp macro="[0]!RentDashboard1LPBotton_Click" textlink="">
      <xdr:nvSpPr>
        <xdr:cNvPr id="35" name="Rent Dashboard 1 LP Botton">
          <a:extLst>
            <a:ext uri="{FF2B5EF4-FFF2-40B4-BE49-F238E27FC236}">
              <a16:creationId xmlns:a16="http://schemas.microsoft.com/office/drawing/2014/main" id="{DB2D1364-CC73-45FE-B2AE-32898D7BA5AB}"/>
            </a:ext>
          </a:extLst>
        </xdr:cNvPr>
        <xdr:cNvSpPr/>
      </xdr:nvSpPr>
      <xdr:spPr>
        <a:xfrm>
          <a:off x="464820" y="584454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LP</a:t>
          </a:r>
        </a:p>
      </xdr:txBody>
    </xdr:sp>
    <xdr:clientData/>
  </xdr:twoCellAnchor>
  <xdr:twoCellAnchor>
    <xdr:from>
      <xdr:col>1</xdr:col>
      <xdr:colOff>441960</xdr:colOff>
      <xdr:row>31</xdr:row>
      <xdr:rowOff>175260</xdr:rowOff>
    </xdr:from>
    <xdr:to>
      <xdr:col>2</xdr:col>
      <xdr:colOff>408360</xdr:colOff>
      <xdr:row>35</xdr:row>
      <xdr:rowOff>91740</xdr:rowOff>
    </xdr:to>
    <xdr:sp macro="[0]!RentDashboard1RD2Botton_Click" textlink="">
      <xdr:nvSpPr>
        <xdr:cNvPr id="36" name="Rent Dashboard 1 RD2 Botton">
          <a:extLst>
            <a:ext uri="{FF2B5EF4-FFF2-40B4-BE49-F238E27FC236}">
              <a16:creationId xmlns:a16="http://schemas.microsoft.com/office/drawing/2014/main" id="{CA47D7B9-59DA-4ABD-8BB4-FE54440F20DB}"/>
            </a:ext>
          </a:extLst>
        </xdr:cNvPr>
        <xdr:cNvSpPr/>
      </xdr:nvSpPr>
      <xdr:spPr>
        <a:xfrm>
          <a:off x="1051560" y="584454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RD2</a:t>
          </a:r>
        </a:p>
      </xdr:txBody>
    </xdr:sp>
    <xdr:clientData/>
  </xdr:twoCellAnchor>
  <xdr:twoCellAnchor>
    <xdr:from>
      <xdr:col>2</xdr:col>
      <xdr:colOff>426720</xdr:colOff>
      <xdr:row>31</xdr:row>
      <xdr:rowOff>175260</xdr:rowOff>
    </xdr:from>
    <xdr:to>
      <xdr:col>3</xdr:col>
      <xdr:colOff>393120</xdr:colOff>
      <xdr:row>35</xdr:row>
      <xdr:rowOff>91740</xdr:rowOff>
    </xdr:to>
    <xdr:sp macro="[0]!RentDashboard1SD1Botton_Click" textlink="">
      <xdr:nvSpPr>
        <xdr:cNvPr id="37" name="Rent Dashboard 1 SD1 Botton">
          <a:extLst>
            <a:ext uri="{FF2B5EF4-FFF2-40B4-BE49-F238E27FC236}">
              <a16:creationId xmlns:a16="http://schemas.microsoft.com/office/drawing/2014/main" id="{29C73115-D973-44E8-A31B-F727062D7131}"/>
            </a:ext>
          </a:extLst>
        </xdr:cNvPr>
        <xdr:cNvSpPr/>
      </xdr:nvSpPr>
      <xdr:spPr>
        <a:xfrm>
          <a:off x="1645920" y="584454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SD1</a:t>
          </a:r>
        </a:p>
      </xdr:txBody>
    </xdr:sp>
    <xdr:clientData/>
  </xdr:twoCellAnchor>
  <xdr:twoCellAnchor>
    <xdr:from>
      <xdr:col>3</xdr:col>
      <xdr:colOff>396240</xdr:colOff>
      <xdr:row>31</xdr:row>
      <xdr:rowOff>175260</xdr:rowOff>
    </xdr:from>
    <xdr:to>
      <xdr:col>4</xdr:col>
      <xdr:colOff>362640</xdr:colOff>
      <xdr:row>35</xdr:row>
      <xdr:rowOff>91740</xdr:rowOff>
    </xdr:to>
    <xdr:sp macro="[0]!RentDashboard1SD2Botton_Click" textlink="">
      <xdr:nvSpPr>
        <xdr:cNvPr id="38" name="Rent Dashboard 1 SD2 Botton">
          <a:extLst>
            <a:ext uri="{FF2B5EF4-FFF2-40B4-BE49-F238E27FC236}">
              <a16:creationId xmlns:a16="http://schemas.microsoft.com/office/drawing/2014/main" id="{6F6CD929-9209-437E-8666-AB75A0EA8804}"/>
            </a:ext>
          </a:extLst>
        </xdr:cNvPr>
        <xdr:cNvSpPr/>
      </xdr:nvSpPr>
      <xdr:spPr>
        <a:xfrm>
          <a:off x="2225040" y="584454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SD2</a:t>
          </a:r>
        </a:p>
      </xdr:txBody>
    </xdr:sp>
    <xdr:clientData/>
  </xdr:twoCellAnchor>
  <xdr:twoCellAnchor>
    <xdr:from>
      <xdr:col>1</xdr:col>
      <xdr:colOff>411480</xdr:colOff>
      <xdr:row>32</xdr:row>
      <xdr:rowOff>99060</xdr:rowOff>
    </xdr:from>
    <xdr:to>
      <xdr:col>1</xdr:col>
      <xdr:colOff>411480</xdr:colOff>
      <xdr:row>34</xdr:row>
      <xdr:rowOff>165300</xdr:rowOff>
    </xdr:to>
    <xdr:cxnSp macro="">
      <xdr:nvCxnSpPr>
        <xdr:cNvPr id="39" name="Straight Connector 38">
          <a:extLst>
            <a:ext uri="{FF2B5EF4-FFF2-40B4-BE49-F238E27FC236}">
              <a16:creationId xmlns:a16="http://schemas.microsoft.com/office/drawing/2014/main" id="{FF2CDC6A-2384-42BF-A2C0-893F5761F95F}"/>
            </a:ext>
          </a:extLst>
        </xdr:cNvPr>
        <xdr:cNvCxnSpPr/>
      </xdr:nvCxnSpPr>
      <xdr:spPr>
        <a:xfrm>
          <a:off x="1021080" y="595122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twoCellAnchor>
    <xdr:from>
      <xdr:col>2</xdr:col>
      <xdr:colOff>411480</xdr:colOff>
      <xdr:row>32</xdr:row>
      <xdr:rowOff>99060</xdr:rowOff>
    </xdr:from>
    <xdr:to>
      <xdr:col>2</xdr:col>
      <xdr:colOff>411480</xdr:colOff>
      <xdr:row>34</xdr:row>
      <xdr:rowOff>165300</xdr:rowOff>
    </xdr:to>
    <xdr:cxnSp macro="">
      <xdr:nvCxnSpPr>
        <xdr:cNvPr id="40" name="Straight Connector 39">
          <a:extLst>
            <a:ext uri="{FF2B5EF4-FFF2-40B4-BE49-F238E27FC236}">
              <a16:creationId xmlns:a16="http://schemas.microsoft.com/office/drawing/2014/main" id="{C77D339A-DC5E-4675-AD82-807651BF1002}"/>
            </a:ext>
          </a:extLst>
        </xdr:cNvPr>
        <xdr:cNvCxnSpPr/>
      </xdr:nvCxnSpPr>
      <xdr:spPr>
        <a:xfrm>
          <a:off x="1630680" y="595122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twoCellAnchor>
    <xdr:from>
      <xdr:col>3</xdr:col>
      <xdr:colOff>373380</xdr:colOff>
      <xdr:row>32</xdr:row>
      <xdr:rowOff>99060</xdr:rowOff>
    </xdr:from>
    <xdr:to>
      <xdr:col>3</xdr:col>
      <xdr:colOff>373380</xdr:colOff>
      <xdr:row>34</xdr:row>
      <xdr:rowOff>165300</xdr:rowOff>
    </xdr:to>
    <xdr:cxnSp macro="">
      <xdr:nvCxnSpPr>
        <xdr:cNvPr id="41" name="Straight Connector 40">
          <a:extLst>
            <a:ext uri="{FF2B5EF4-FFF2-40B4-BE49-F238E27FC236}">
              <a16:creationId xmlns:a16="http://schemas.microsoft.com/office/drawing/2014/main" id="{9126539F-1AC9-4A88-B51D-49506C1A63A5}"/>
            </a:ext>
          </a:extLst>
        </xdr:cNvPr>
        <xdr:cNvCxnSpPr/>
      </xdr:nvCxnSpPr>
      <xdr:spPr>
        <a:xfrm>
          <a:off x="2202180" y="595122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xdr:colOff>
      <xdr:row>0</xdr:row>
      <xdr:rowOff>0</xdr:rowOff>
    </xdr:from>
    <xdr:to>
      <xdr:col>23</xdr:col>
      <xdr:colOff>594360</xdr:colOff>
      <xdr:row>44</xdr:row>
      <xdr:rowOff>152400</xdr:rowOff>
    </xdr:to>
    <xdr:pic>
      <xdr:nvPicPr>
        <xdr:cNvPr id="3" name="Picture 2">
          <a:extLst>
            <a:ext uri="{FF2B5EF4-FFF2-40B4-BE49-F238E27FC236}">
              <a16:creationId xmlns:a16="http://schemas.microsoft.com/office/drawing/2014/main" id="{76D03A6B-40BC-DB88-673E-C03B0F12B572}"/>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120" b="34619"/>
        <a:stretch>
          <a:fillRect/>
        </a:stretch>
      </xdr:blipFill>
      <xdr:spPr>
        <a:xfrm>
          <a:off x="7620" y="0"/>
          <a:ext cx="14607540" cy="8199120"/>
        </a:xfrm>
        <a:prstGeom prst="rect">
          <a:avLst/>
        </a:prstGeom>
      </xdr:spPr>
    </xdr:pic>
    <xdr:clientData/>
  </xdr:twoCellAnchor>
  <xdr:twoCellAnchor>
    <xdr:from>
      <xdr:col>0</xdr:col>
      <xdr:colOff>327660</xdr:colOff>
      <xdr:row>1</xdr:row>
      <xdr:rowOff>160020</xdr:rowOff>
    </xdr:from>
    <xdr:to>
      <xdr:col>4</xdr:col>
      <xdr:colOff>358140</xdr:colOff>
      <xdr:row>4</xdr:row>
      <xdr:rowOff>121920</xdr:rowOff>
    </xdr:to>
    <xdr:sp macro="" textlink="">
      <xdr:nvSpPr>
        <xdr:cNvPr id="2" name="Rectangle: Rounded Corners 1">
          <a:extLst>
            <a:ext uri="{FF2B5EF4-FFF2-40B4-BE49-F238E27FC236}">
              <a16:creationId xmlns:a16="http://schemas.microsoft.com/office/drawing/2014/main" id="{C6E62FE1-C0FD-4D78-9802-EC6CAC38017C}"/>
            </a:ext>
          </a:extLst>
        </xdr:cNvPr>
        <xdr:cNvSpPr/>
      </xdr:nvSpPr>
      <xdr:spPr>
        <a:xfrm>
          <a:off x="327660" y="342900"/>
          <a:ext cx="2468880" cy="510540"/>
        </a:xfrm>
        <a:prstGeom prst="roundRect">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rgbClr val="FFC000"/>
              </a:solidFill>
            </a:rPr>
            <a:t>Rent Dashboard</a:t>
          </a:r>
          <a:r>
            <a:rPr lang="en-US" sz="2000" b="1" baseline="0">
              <a:solidFill>
                <a:srgbClr val="FFC000"/>
              </a:solidFill>
            </a:rPr>
            <a:t> 2</a:t>
          </a:r>
        </a:p>
      </xdr:txBody>
    </xdr:sp>
    <xdr:clientData/>
  </xdr:twoCellAnchor>
  <xdr:twoCellAnchor>
    <xdr:from>
      <xdr:col>0</xdr:col>
      <xdr:colOff>449580</xdr:colOff>
      <xdr:row>6</xdr:row>
      <xdr:rowOff>15240</xdr:rowOff>
    </xdr:from>
    <xdr:to>
      <xdr:col>4</xdr:col>
      <xdr:colOff>243180</xdr:colOff>
      <xdr:row>31</xdr:row>
      <xdr:rowOff>22860</xdr:rowOff>
    </xdr:to>
    <xdr:sp macro="" textlink="">
      <xdr:nvSpPr>
        <xdr:cNvPr id="4" name="Rectangle: Rounded Corners 3">
          <a:extLst>
            <a:ext uri="{FF2B5EF4-FFF2-40B4-BE49-F238E27FC236}">
              <a16:creationId xmlns:a16="http://schemas.microsoft.com/office/drawing/2014/main" id="{83EB3ECC-379D-46EF-B787-D01EA4658863}"/>
            </a:ext>
          </a:extLst>
        </xdr:cNvPr>
        <xdr:cNvSpPr/>
      </xdr:nvSpPr>
      <xdr:spPr>
        <a:xfrm>
          <a:off x="449580" y="1112520"/>
          <a:ext cx="2232000" cy="4579620"/>
        </a:xfrm>
        <a:prstGeom prst="roundRect">
          <a:avLst>
            <a:gd name="adj" fmla="val 8951"/>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0</xdr:col>
      <xdr:colOff>449580</xdr:colOff>
      <xdr:row>5</xdr:row>
      <xdr:rowOff>129540</xdr:rowOff>
    </xdr:from>
    <xdr:to>
      <xdr:col>4</xdr:col>
      <xdr:colOff>243180</xdr:colOff>
      <xdr:row>8</xdr:row>
      <xdr:rowOff>91440</xdr:rowOff>
    </xdr:to>
    <xdr:sp macro="" textlink="">
      <xdr:nvSpPr>
        <xdr:cNvPr id="5" name="Rectangle: Rounded Corners 4">
          <a:extLst>
            <a:ext uri="{FF2B5EF4-FFF2-40B4-BE49-F238E27FC236}">
              <a16:creationId xmlns:a16="http://schemas.microsoft.com/office/drawing/2014/main" id="{EBCB3E9F-192A-4985-AAFA-79D609247771}"/>
            </a:ext>
          </a:extLst>
        </xdr:cNvPr>
        <xdr:cNvSpPr/>
      </xdr:nvSpPr>
      <xdr:spPr>
        <a:xfrm>
          <a:off x="449580" y="104394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 Rental</a:t>
          </a:r>
          <a:r>
            <a:rPr lang="en-US" sz="1400" b="1" baseline="0"/>
            <a:t> Listings</a:t>
          </a:r>
          <a:endParaRPr lang="en-US" sz="1100" b="1"/>
        </a:p>
      </xdr:txBody>
    </xdr:sp>
    <xdr:clientData/>
  </xdr:twoCellAnchor>
  <xdr:twoCellAnchor>
    <xdr:from>
      <xdr:col>0</xdr:col>
      <xdr:colOff>449580</xdr:colOff>
      <xdr:row>7</xdr:row>
      <xdr:rowOff>175260</xdr:rowOff>
    </xdr:from>
    <xdr:to>
      <xdr:col>4</xdr:col>
      <xdr:colOff>243180</xdr:colOff>
      <xdr:row>10</xdr:row>
      <xdr:rowOff>137160</xdr:rowOff>
    </xdr:to>
    <xdr:sp macro="" textlink="'Pivot Table Rent'!$O$2">
      <xdr:nvSpPr>
        <xdr:cNvPr id="6" name="Rectangle: Rounded Corners 5">
          <a:extLst>
            <a:ext uri="{FF2B5EF4-FFF2-40B4-BE49-F238E27FC236}">
              <a16:creationId xmlns:a16="http://schemas.microsoft.com/office/drawing/2014/main" id="{7E51DE70-FF2C-424B-9EC4-DB0861B47A0A}"/>
            </a:ext>
          </a:extLst>
        </xdr:cNvPr>
        <xdr:cNvSpPr/>
      </xdr:nvSpPr>
      <xdr:spPr>
        <a:xfrm>
          <a:off x="449580" y="145542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C7A171C-58ED-4106-AE05-EA1919D22E91}" type="TxLink">
            <a:rPr lang="en-US" sz="3600" b="1" i="0" u="none" strike="noStrike">
              <a:solidFill>
                <a:schemeClr val="bg1"/>
              </a:solidFill>
              <a:latin typeface="Calibri"/>
              <a:cs typeface="Calibri"/>
            </a:rPr>
            <a:pPr algn="ctr"/>
            <a:t>250</a:t>
          </a:fld>
          <a:endParaRPr lang="en-US" sz="8800" b="1">
            <a:solidFill>
              <a:schemeClr val="bg1"/>
            </a:solidFill>
          </a:endParaRPr>
        </a:p>
      </xdr:txBody>
    </xdr:sp>
    <xdr:clientData/>
  </xdr:twoCellAnchor>
  <xdr:twoCellAnchor>
    <xdr:from>
      <xdr:col>0</xdr:col>
      <xdr:colOff>449580</xdr:colOff>
      <xdr:row>11</xdr:row>
      <xdr:rowOff>152400</xdr:rowOff>
    </xdr:from>
    <xdr:to>
      <xdr:col>4</xdr:col>
      <xdr:colOff>243180</xdr:colOff>
      <xdr:row>14</xdr:row>
      <xdr:rowOff>114300</xdr:rowOff>
    </xdr:to>
    <xdr:sp macro="" textlink="">
      <xdr:nvSpPr>
        <xdr:cNvPr id="7" name="Rectangle: Rounded Corners 6">
          <a:extLst>
            <a:ext uri="{FF2B5EF4-FFF2-40B4-BE49-F238E27FC236}">
              <a16:creationId xmlns:a16="http://schemas.microsoft.com/office/drawing/2014/main" id="{0915C999-4C0A-4602-B3E9-1017B44B9EBB}"/>
            </a:ext>
          </a:extLst>
        </xdr:cNvPr>
        <xdr:cNvSpPr/>
      </xdr:nvSpPr>
      <xdr:spPr>
        <a:xfrm>
          <a:off x="449580" y="216408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Median</a:t>
          </a:r>
          <a:r>
            <a:rPr lang="en-US" sz="1400" b="1" baseline="0"/>
            <a:t> Annual Rent</a:t>
          </a:r>
          <a:endParaRPr lang="en-US" sz="1400" b="1"/>
        </a:p>
      </xdr:txBody>
    </xdr:sp>
    <xdr:clientData/>
  </xdr:twoCellAnchor>
  <xdr:twoCellAnchor>
    <xdr:from>
      <xdr:col>0</xdr:col>
      <xdr:colOff>449580</xdr:colOff>
      <xdr:row>14</xdr:row>
      <xdr:rowOff>15240</xdr:rowOff>
    </xdr:from>
    <xdr:to>
      <xdr:col>4</xdr:col>
      <xdr:colOff>243180</xdr:colOff>
      <xdr:row>16</xdr:row>
      <xdr:rowOff>160020</xdr:rowOff>
    </xdr:to>
    <xdr:sp macro="" textlink="'Pivot Table Rent'!$O$3">
      <xdr:nvSpPr>
        <xdr:cNvPr id="8" name="Rectangle: Rounded Corners 7">
          <a:extLst>
            <a:ext uri="{FF2B5EF4-FFF2-40B4-BE49-F238E27FC236}">
              <a16:creationId xmlns:a16="http://schemas.microsoft.com/office/drawing/2014/main" id="{68E53D17-1D23-40BB-B377-7AC16C5EABD5}"/>
            </a:ext>
          </a:extLst>
        </xdr:cNvPr>
        <xdr:cNvSpPr/>
      </xdr:nvSpPr>
      <xdr:spPr>
        <a:xfrm>
          <a:off x="449580" y="257556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23FE694-6A19-4DD1-BD4B-67D3215E9BA7}" type="TxLink">
            <a:rPr lang="en-US" sz="3600" b="1" i="0" u="none" strike="noStrike">
              <a:solidFill>
                <a:schemeClr val="bg1"/>
              </a:solidFill>
              <a:latin typeface="Calibri"/>
              <a:cs typeface="Calibri"/>
            </a:rPr>
            <a:pPr algn="ctr"/>
            <a:t>₦7.5M</a:t>
          </a:fld>
          <a:endParaRPr lang="en-US" sz="3600" b="1">
            <a:solidFill>
              <a:schemeClr val="bg1"/>
            </a:solidFill>
          </a:endParaRPr>
        </a:p>
      </xdr:txBody>
    </xdr:sp>
    <xdr:clientData/>
  </xdr:twoCellAnchor>
  <xdr:twoCellAnchor>
    <xdr:from>
      <xdr:col>0</xdr:col>
      <xdr:colOff>457200</xdr:colOff>
      <xdr:row>17</xdr:row>
      <xdr:rowOff>167640</xdr:rowOff>
    </xdr:from>
    <xdr:to>
      <xdr:col>4</xdr:col>
      <xdr:colOff>250800</xdr:colOff>
      <xdr:row>20</xdr:row>
      <xdr:rowOff>129540</xdr:rowOff>
    </xdr:to>
    <xdr:sp macro="" textlink="">
      <xdr:nvSpPr>
        <xdr:cNvPr id="9" name="Rectangle: Rounded Corners 8">
          <a:extLst>
            <a:ext uri="{FF2B5EF4-FFF2-40B4-BE49-F238E27FC236}">
              <a16:creationId xmlns:a16="http://schemas.microsoft.com/office/drawing/2014/main" id="{20D35015-B85D-49B5-9E54-D6900D177994}"/>
            </a:ext>
          </a:extLst>
        </xdr:cNvPr>
        <xdr:cNvSpPr/>
      </xdr:nvSpPr>
      <xdr:spPr>
        <a:xfrm>
          <a:off x="457200" y="327660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Minimum</a:t>
          </a:r>
          <a:r>
            <a:rPr lang="en-US" sz="1400" b="1" baseline="0"/>
            <a:t> Annual Rent</a:t>
          </a:r>
          <a:endParaRPr lang="en-US" sz="1400" b="1"/>
        </a:p>
      </xdr:txBody>
    </xdr:sp>
    <xdr:clientData/>
  </xdr:twoCellAnchor>
  <xdr:twoCellAnchor>
    <xdr:from>
      <xdr:col>0</xdr:col>
      <xdr:colOff>449580</xdr:colOff>
      <xdr:row>20</xdr:row>
      <xdr:rowOff>30480</xdr:rowOff>
    </xdr:from>
    <xdr:to>
      <xdr:col>4</xdr:col>
      <xdr:colOff>243180</xdr:colOff>
      <xdr:row>22</xdr:row>
      <xdr:rowOff>175260</xdr:rowOff>
    </xdr:to>
    <xdr:sp macro="" textlink="'Pivot Table Rent'!$O$4">
      <xdr:nvSpPr>
        <xdr:cNvPr id="10" name="Rectangle: Rounded Corners 9">
          <a:extLst>
            <a:ext uri="{FF2B5EF4-FFF2-40B4-BE49-F238E27FC236}">
              <a16:creationId xmlns:a16="http://schemas.microsoft.com/office/drawing/2014/main" id="{B3AF703C-ED0F-492A-8027-EF6017243ECF}"/>
            </a:ext>
          </a:extLst>
        </xdr:cNvPr>
        <xdr:cNvSpPr/>
      </xdr:nvSpPr>
      <xdr:spPr>
        <a:xfrm>
          <a:off x="449580" y="368808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18A2DFF-BA94-47E9-A717-F8F371711536}" type="TxLink">
            <a:rPr lang="en-US" sz="3600" b="1" i="0" u="none" strike="noStrike">
              <a:solidFill>
                <a:schemeClr val="bg1"/>
              </a:solidFill>
              <a:latin typeface="Calibri"/>
              <a:cs typeface="Calibri"/>
            </a:rPr>
            <a:pPr algn="ctr"/>
            <a:t>₦800K</a:t>
          </a:fld>
          <a:endParaRPr lang="en-US" sz="3600" b="1">
            <a:solidFill>
              <a:schemeClr val="bg1"/>
            </a:solidFill>
          </a:endParaRPr>
        </a:p>
      </xdr:txBody>
    </xdr:sp>
    <xdr:clientData/>
  </xdr:twoCellAnchor>
  <xdr:twoCellAnchor>
    <xdr:from>
      <xdr:col>0</xdr:col>
      <xdr:colOff>457200</xdr:colOff>
      <xdr:row>23</xdr:row>
      <xdr:rowOff>160020</xdr:rowOff>
    </xdr:from>
    <xdr:to>
      <xdr:col>4</xdr:col>
      <xdr:colOff>250800</xdr:colOff>
      <xdr:row>26</xdr:row>
      <xdr:rowOff>121920</xdr:rowOff>
    </xdr:to>
    <xdr:sp macro="" textlink="">
      <xdr:nvSpPr>
        <xdr:cNvPr id="11" name="Rectangle: Rounded Corners 10">
          <a:extLst>
            <a:ext uri="{FF2B5EF4-FFF2-40B4-BE49-F238E27FC236}">
              <a16:creationId xmlns:a16="http://schemas.microsoft.com/office/drawing/2014/main" id="{B9781660-2F54-4368-A702-505E6D649AA8}"/>
            </a:ext>
          </a:extLst>
        </xdr:cNvPr>
        <xdr:cNvSpPr/>
      </xdr:nvSpPr>
      <xdr:spPr>
        <a:xfrm>
          <a:off x="457200" y="436626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Maximum</a:t>
          </a:r>
          <a:r>
            <a:rPr lang="en-US" sz="1400" b="1" baseline="0"/>
            <a:t> Annual Rent</a:t>
          </a:r>
          <a:endParaRPr lang="en-US" sz="1400" b="1"/>
        </a:p>
      </xdr:txBody>
    </xdr:sp>
    <xdr:clientData/>
  </xdr:twoCellAnchor>
  <xdr:twoCellAnchor>
    <xdr:from>
      <xdr:col>0</xdr:col>
      <xdr:colOff>457200</xdr:colOff>
      <xdr:row>26</xdr:row>
      <xdr:rowOff>15240</xdr:rowOff>
    </xdr:from>
    <xdr:to>
      <xdr:col>4</xdr:col>
      <xdr:colOff>250800</xdr:colOff>
      <xdr:row>28</xdr:row>
      <xdr:rowOff>160020</xdr:rowOff>
    </xdr:to>
    <xdr:sp macro="" textlink="'Pivot Table Rent'!$O$5">
      <xdr:nvSpPr>
        <xdr:cNvPr id="12" name="Rectangle: Rounded Corners 11">
          <a:extLst>
            <a:ext uri="{FF2B5EF4-FFF2-40B4-BE49-F238E27FC236}">
              <a16:creationId xmlns:a16="http://schemas.microsoft.com/office/drawing/2014/main" id="{517C4A93-0925-4AAB-8A3B-1753DB58D985}"/>
            </a:ext>
          </a:extLst>
        </xdr:cNvPr>
        <xdr:cNvSpPr/>
      </xdr:nvSpPr>
      <xdr:spPr>
        <a:xfrm>
          <a:off x="457200" y="477012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D6D2A4C-E516-4AF9-91E4-88B2CBC874A3}" type="TxLink">
            <a:rPr lang="en-US" sz="3600" b="1" i="0" u="none" strike="noStrike">
              <a:solidFill>
                <a:schemeClr val="bg1"/>
              </a:solidFill>
              <a:latin typeface="Calibri"/>
              <a:cs typeface="Calibri"/>
            </a:rPr>
            <a:pPr algn="ctr"/>
            <a:t>₦250.0M</a:t>
          </a:fld>
          <a:endParaRPr lang="en-US" sz="3600" b="1">
            <a:solidFill>
              <a:schemeClr val="bg1"/>
            </a:solidFill>
          </a:endParaRPr>
        </a:p>
      </xdr:txBody>
    </xdr:sp>
    <xdr:clientData/>
  </xdr:twoCellAnchor>
  <xdr:twoCellAnchor>
    <xdr:from>
      <xdr:col>0</xdr:col>
      <xdr:colOff>586740</xdr:colOff>
      <xdr:row>11</xdr:row>
      <xdr:rowOff>0</xdr:rowOff>
    </xdr:from>
    <xdr:to>
      <xdr:col>4</xdr:col>
      <xdr:colOff>92340</xdr:colOff>
      <xdr:row>11</xdr:row>
      <xdr:rowOff>0</xdr:rowOff>
    </xdr:to>
    <xdr:cxnSp macro="">
      <xdr:nvCxnSpPr>
        <xdr:cNvPr id="13" name="Straight Connector 12">
          <a:extLst>
            <a:ext uri="{FF2B5EF4-FFF2-40B4-BE49-F238E27FC236}">
              <a16:creationId xmlns:a16="http://schemas.microsoft.com/office/drawing/2014/main" id="{C775482A-9955-478B-8F41-A5F60A171F3A}"/>
            </a:ext>
          </a:extLst>
        </xdr:cNvPr>
        <xdr:cNvCxnSpPr/>
      </xdr:nvCxnSpPr>
      <xdr:spPr>
        <a:xfrm>
          <a:off x="586740" y="201168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586740</xdr:colOff>
      <xdr:row>17</xdr:row>
      <xdr:rowOff>38100</xdr:rowOff>
    </xdr:from>
    <xdr:to>
      <xdr:col>4</xdr:col>
      <xdr:colOff>92340</xdr:colOff>
      <xdr:row>17</xdr:row>
      <xdr:rowOff>38100</xdr:rowOff>
    </xdr:to>
    <xdr:cxnSp macro="">
      <xdr:nvCxnSpPr>
        <xdr:cNvPr id="14" name="Straight Connector 13">
          <a:extLst>
            <a:ext uri="{FF2B5EF4-FFF2-40B4-BE49-F238E27FC236}">
              <a16:creationId xmlns:a16="http://schemas.microsoft.com/office/drawing/2014/main" id="{08BDE098-C977-4E31-AFE7-BAA1601FE55B}"/>
            </a:ext>
          </a:extLst>
        </xdr:cNvPr>
        <xdr:cNvCxnSpPr/>
      </xdr:nvCxnSpPr>
      <xdr:spPr>
        <a:xfrm>
          <a:off x="586740" y="314706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586740</xdr:colOff>
      <xdr:row>23</xdr:row>
      <xdr:rowOff>45720</xdr:rowOff>
    </xdr:from>
    <xdr:to>
      <xdr:col>4</xdr:col>
      <xdr:colOff>92340</xdr:colOff>
      <xdr:row>23</xdr:row>
      <xdr:rowOff>45720</xdr:rowOff>
    </xdr:to>
    <xdr:cxnSp macro="">
      <xdr:nvCxnSpPr>
        <xdr:cNvPr id="15" name="Straight Connector 14">
          <a:extLst>
            <a:ext uri="{FF2B5EF4-FFF2-40B4-BE49-F238E27FC236}">
              <a16:creationId xmlns:a16="http://schemas.microsoft.com/office/drawing/2014/main" id="{216B5523-5A65-40DD-9F5D-0793EA4D07E0}"/>
            </a:ext>
          </a:extLst>
        </xdr:cNvPr>
        <xdr:cNvCxnSpPr/>
      </xdr:nvCxnSpPr>
      <xdr:spPr>
        <a:xfrm>
          <a:off x="586740" y="425196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586740</xdr:colOff>
      <xdr:row>29</xdr:row>
      <xdr:rowOff>45720</xdr:rowOff>
    </xdr:from>
    <xdr:to>
      <xdr:col>4</xdr:col>
      <xdr:colOff>92340</xdr:colOff>
      <xdr:row>29</xdr:row>
      <xdr:rowOff>45720</xdr:rowOff>
    </xdr:to>
    <xdr:cxnSp macro="">
      <xdr:nvCxnSpPr>
        <xdr:cNvPr id="16" name="Straight Connector 15">
          <a:extLst>
            <a:ext uri="{FF2B5EF4-FFF2-40B4-BE49-F238E27FC236}">
              <a16:creationId xmlns:a16="http://schemas.microsoft.com/office/drawing/2014/main" id="{BB947ADE-DD93-4B2A-B52E-020BAB34B2DA}"/>
            </a:ext>
          </a:extLst>
        </xdr:cNvPr>
        <xdr:cNvCxnSpPr/>
      </xdr:nvCxnSpPr>
      <xdr:spPr>
        <a:xfrm>
          <a:off x="586740" y="534924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xdr:col>
      <xdr:colOff>304800</xdr:colOff>
      <xdr:row>6</xdr:row>
      <xdr:rowOff>15240</xdr:rowOff>
    </xdr:from>
    <xdr:to>
      <xdr:col>11</xdr:col>
      <xdr:colOff>105600</xdr:colOff>
      <xdr:row>36</xdr:row>
      <xdr:rowOff>840</xdr:rowOff>
    </xdr:to>
    <xdr:sp macro="" textlink="">
      <xdr:nvSpPr>
        <xdr:cNvPr id="17" name="Rectangle: Rounded Corners 16">
          <a:extLst>
            <a:ext uri="{FF2B5EF4-FFF2-40B4-BE49-F238E27FC236}">
              <a16:creationId xmlns:a16="http://schemas.microsoft.com/office/drawing/2014/main" id="{E9118268-BBDA-4884-B973-AB3E25C41FB1}"/>
            </a:ext>
          </a:extLst>
        </xdr:cNvPr>
        <xdr:cNvSpPr/>
      </xdr:nvSpPr>
      <xdr:spPr>
        <a:xfrm>
          <a:off x="2743200" y="1112520"/>
          <a:ext cx="4068000" cy="5472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0</xdr:col>
      <xdr:colOff>449580</xdr:colOff>
      <xdr:row>32</xdr:row>
      <xdr:rowOff>38100</xdr:rowOff>
    </xdr:from>
    <xdr:to>
      <xdr:col>4</xdr:col>
      <xdr:colOff>243180</xdr:colOff>
      <xdr:row>35</xdr:row>
      <xdr:rowOff>65460</xdr:rowOff>
    </xdr:to>
    <xdr:sp macro="" textlink="">
      <xdr:nvSpPr>
        <xdr:cNvPr id="19" name="Rectangle: Rounded Corners 18">
          <a:extLst>
            <a:ext uri="{FF2B5EF4-FFF2-40B4-BE49-F238E27FC236}">
              <a16:creationId xmlns:a16="http://schemas.microsoft.com/office/drawing/2014/main" id="{66999BCA-8D90-41D2-82AD-B87CFD303EB9}"/>
            </a:ext>
          </a:extLst>
        </xdr:cNvPr>
        <xdr:cNvSpPr/>
      </xdr:nvSpPr>
      <xdr:spPr>
        <a:xfrm>
          <a:off x="449580" y="5890260"/>
          <a:ext cx="2232000" cy="576000"/>
        </a:xfrm>
        <a:prstGeom prst="roundRect">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p>
      </xdr:txBody>
    </xdr:sp>
    <xdr:clientData/>
  </xdr:twoCellAnchor>
  <xdr:twoCellAnchor>
    <xdr:from>
      <xdr:col>4</xdr:col>
      <xdr:colOff>297180</xdr:colOff>
      <xdr:row>6</xdr:row>
      <xdr:rowOff>7620</xdr:rowOff>
    </xdr:from>
    <xdr:to>
      <xdr:col>11</xdr:col>
      <xdr:colOff>106680</xdr:colOff>
      <xdr:row>8</xdr:row>
      <xdr:rowOff>152400</xdr:rowOff>
    </xdr:to>
    <xdr:sp macro="" textlink="'Pivot Table Rent'!$A$25:$B$25">
      <xdr:nvSpPr>
        <xdr:cNvPr id="20" name="Rectangle: Rounded Corners 19">
          <a:extLst>
            <a:ext uri="{FF2B5EF4-FFF2-40B4-BE49-F238E27FC236}">
              <a16:creationId xmlns:a16="http://schemas.microsoft.com/office/drawing/2014/main" id="{6320E186-C0F4-428E-8DB0-179D3BC28DEE}"/>
            </a:ext>
          </a:extLst>
        </xdr:cNvPr>
        <xdr:cNvSpPr/>
      </xdr:nvSpPr>
      <xdr:spPr>
        <a:xfrm>
          <a:off x="2735580" y="1104900"/>
          <a:ext cx="40767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1837BAD-6101-4186-B00B-0F4837122D67}" type="TxLink">
            <a:rPr lang="en-US" sz="1200" b="1" i="0" u="none" strike="noStrike">
              <a:solidFill>
                <a:schemeClr val="bg1"/>
              </a:solidFill>
              <a:latin typeface="Calibri"/>
              <a:cs typeface="Calibri"/>
            </a:rPr>
            <a:pPr algn="ctr"/>
            <a:t>Rental listing count by Area (Guzape Leads with 21 Listings)</a:t>
          </a:fld>
          <a:endParaRPr lang="en-US" sz="1200" b="1">
            <a:solidFill>
              <a:schemeClr val="bg1"/>
            </a:solidFill>
          </a:endParaRPr>
        </a:p>
      </xdr:txBody>
    </xdr:sp>
    <xdr:clientData/>
  </xdr:twoCellAnchor>
  <xdr:twoCellAnchor>
    <xdr:from>
      <xdr:col>4</xdr:col>
      <xdr:colOff>449580</xdr:colOff>
      <xdr:row>0</xdr:row>
      <xdr:rowOff>144780</xdr:rowOff>
    </xdr:from>
    <xdr:to>
      <xdr:col>23</xdr:col>
      <xdr:colOff>27180</xdr:colOff>
      <xdr:row>5</xdr:row>
      <xdr:rowOff>130380</xdr:rowOff>
    </xdr:to>
    <xdr:sp macro="" textlink="">
      <xdr:nvSpPr>
        <xdr:cNvPr id="21" name="Rectangle: Rounded Corners 20">
          <a:extLst>
            <a:ext uri="{FF2B5EF4-FFF2-40B4-BE49-F238E27FC236}">
              <a16:creationId xmlns:a16="http://schemas.microsoft.com/office/drawing/2014/main" id="{F4A96335-CB3B-45E4-B1D5-B90C20EB3AA9}"/>
            </a:ext>
          </a:extLst>
        </xdr:cNvPr>
        <xdr:cNvSpPr/>
      </xdr:nvSpPr>
      <xdr:spPr>
        <a:xfrm>
          <a:off x="2887980" y="144780"/>
          <a:ext cx="11160000" cy="900000"/>
        </a:xfrm>
        <a:prstGeom prst="roundRect">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solidFill>
              <a:srgbClr val="FFC000"/>
            </a:solidFill>
          </a:endParaRPr>
        </a:p>
      </xdr:txBody>
    </xdr:sp>
    <xdr:clientData/>
  </xdr:twoCellAnchor>
  <xdr:twoCellAnchor>
    <xdr:from>
      <xdr:col>0</xdr:col>
      <xdr:colOff>426720</xdr:colOff>
      <xdr:row>36</xdr:row>
      <xdr:rowOff>76200</xdr:rowOff>
    </xdr:from>
    <xdr:to>
      <xdr:col>23</xdr:col>
      <xdr:colOff>83820</xdr:colOff>
      <xdr:row>39</xdr:row>
      <xdr:rowOff>103560</xdr:rowOff>
    </xdr:to>
    <xdr:sp macro="" textlink="">
      <xdr:nvSpPr>
        <xdr:cNvPr id="22" name="Rectangle: Rounded Corners 21">
          <a:extLst>
            <a:ext uri="{FF2B5EF4-FFF2-40B4-BE49-F238E27FC236}">
              <a16:creationId xmlns:a16="http://schemas.microsoft.com/office/drawing/2014/main" id="{C309E9FF-89C3-46F5-8A3F-8B7F482696CB}"/>
            </a:ext>
          </a:extLst>
        </xdr:cNvPr>
        <xdr:cNvSpPr/>
      </xdr:nvSpPr>
      <xdr:spPr>
        <a:xfrm>
          <a:off x="426720" y="6659880"/>
          <a:ext cx="13677900" cy="576000"/>
        </a:xfrm>
        <a:prstGeom prst="roundRect">
          <a:avLst/>
        </a:prstGeom>
        <a:solidFill>
          <a:schemeClr val="tx1">
            <a:alpha val="9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Flats/apartments account for 44% of rental listings (110 of 250), making them the dominant property type in the sample. Guzape has the highest listing count at 21, while Asokoro has just 4. Developers should investigate demand and competition by property type and location before deciding where to build.</a:t>
          </a:r>
        </a:p>
      </xdr:txBody>
    </xdr:sp>
    <xdr:clientData/>
  </xdr:twoCellAnchor>
  <xdr:twoCellAnchor>
    <xdr:from>
      <xdr:col>11</xdr:col>
      <xdr:colOff>167640</xdr:colOff>
      <xdr:row>6</xdr:row>
      <xdr:rowOff>15240</xdr:rowOff>
    </xdr:from>
    <xdr:to>
      <xdr:col>16</xdr:col>
      <xdr:colOff>431640</xdr:colOff>
      <xdr:row>36</xdr:row>
      <xdr:rowOff>840</xdr:rowOff>
    </xdr:to>
    <xdr:sp macro="" textlink="">
      <xdr:nvSpPr>
        <xdr:cNvPr id="23" name="Rectangle: Rounded Corners 22">
          <a:extLst>
            <a:ext uri="{FF2B5EF4-FFF2-40B4-BE49-F238E27FC236}">
              <a16:creationId xmlns:a16="http://schemas.microsoft.com/office/drawing/2014/main" id="{DF4E146B-CD10-48EF-924D-DEB44964F838}"/>
            </a:ext>
          </a:extLst>
        </xdr:cNvPr>
        <xdr:cNvSpPr/>
      </xdr:nvSpPr>
      <xdr:spPr>
        <a:xfrm>
          <a:off x="6873240" y="1112520"/>
          <a:ext cx="3312000" cy="5472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11</xdr:col>
      <xdr:colOff>129540</xdr:colOff>
      <xdr:row>5</xdr:row>
      <xdr:rowOff>129540</xdr:rowOff>
    </xdr:from>
    <xdr:to>
      <xdr:col>16</xdr:col>
      <xdr:colOff>465540</xdr:colOff>
      <xdr:row>9</xdr:row>
      <xdr:rowOff>46020</xdr:rowOff>
    </xdr:to>
    <xdr:sp macro="" textlink="'Pivot Table Rent'!$A$47:$B$47">
      <xdr:nvSpPr>
        <xdr:cNvPr id="28" name="Rectangle: Rounded Corners 27">
          <a:extLst>
            <a:ext uri="{FF2B5EF4-FFF2-40B4-BE49-F238E27FC236}">
              <a16:creationId xmlns:a16="http://schemas.microsoft.com/office/drawing/2014/main" id="{465D5083-26AA-4880-8304-FD768291CA27}"/>
            </a:ext>
          </a:extLst>
        </xdr:cNvPr>
        <xdr:cNvSpPr/>
      </xdr:nvSpPr>
      <xdr:spPr>
        <a:xfrm>
          <a:off x="6835140" y="1043940"/>
          <a:ext cx="3384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9285F04-A037-40CE-B8FE-7B0320B80F58}" type="TxLink">
            <a:rPr lang="en-US" sz="1200" b="1" i="0" u="none" strike="noStrike">
              <a:solidFill>
                <a:schemeClr val="bg1"/>
              </a:solidFill>
              <a:latin typeface="Calibri"/>
              <a:cs typeface="Calibri"/>
            </a:rPr>
            <a:pPr algn="ctr"/>
            <a:t>Rental listing count by Property Type (Flat/Apartment Leads with 110 Listings)</a:t>
          </a:fld>
          <a:endParaRPr lang="en-US" sz="1200" b="1">
            <a:solidFill>
              <a:schemeClr val="bg1"/>
            </a:solidFill>
          </a:endParaRPr>
        </a:p>
      </xdr:txBody>
    </xdr:sp>
    <xdr:clientData/>
  </xdr:twoCellAnchor>
  <xdr:twoCellAnchor>
    <xdr:from>
      <xdr:col>16</xdr:col>
      <xdr:colOff>495300</xdr:colOff>
      <xdr:row>6</xdr:row>
      <xdr:rowOff>15240</xdr:rowOff>
    </xdr:from>
    <xdr:to>
      <xdr:col>23</xdr:col>
      <xdr:colOff>80100</xdr:colOff>
      <xdr:row>36</xdr:row>
      <xdr:rowOff>840</xdr:rowOff>
    </xdr:to>
    <xdr:sp macro="" textlink="">
      <xdr:nvSpPr>
        <xdr:cNvPr id="29" name="Rectangle: Rounded Corners 28">
          <a:extLst>
            <a:ext uri="{FF2B5EF4-FFF2-40B4-BE49-F238E27FC236}">
              <a16:creationId xmlns:a16="http://schemas.microsoft.com/office/drawing/2014/main" id="{E52829BC-DD1F-4220-932D-85708A293115}"/>
            </a:ext>
          </a:extLst>
        </xdr:cNvPr>
        <xdr:cNvSpPr/>
      </xdr:nvSpPr>
      <xdr:spPr>
        <a:xfrm>
          <a:off x="10248900" y="1112520"/>
          <a:ext cx="3852000" cy="5472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16</xdr:col>
      <xdr:colOff>480060</xdr:colOff>
      <xdr:row>5</xdr:row>
      <xdr:rowOff>121920</xdr:rowOff>
    </xdr:from>
    <xdr:to>
      <xdr:col>23</xdr:col>
      <xdr:colOff>136860</xdr:colOff>
      <xdr:row>9</xdr:row>
      <xdr:rowOff>38400</xdr:rowOff>
    </xdr:to>
    <xdr:sp macro="" textlink="'Pivot Table Rent'!$A$60:$B$60">
      <xdr:nvSpPr>
        <xdr:cNvPr id="31" name="Rectangle: Rounded Corners 30">
          <a:extLst>
            <a:ext uri="{FF2B5EF4-FFF2-40B4-BE49-F238E27FC236}">
              <a16:creationId xmlns:a16="http://schemas.microsoft.com/office/drawing/2014/main" id="{1DEAE906-1E00-4225-B17D-ED1AA9F6329D}"/>
            </a:ext>
          </a:extLst>
        </xdr:cNvPr>
        <xdr:cNvSpPr/>
      </xdr:nvSpPr>
      <xdr:spPr>
        <a:xfrm>
          <a:off x="10233660" y="1036320"/>
          <a:ext cx="3924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D4214FC-9559-4C89-9535-71C884FF6572}" type="TxLink">
            <a:rPr lang="en-US" sz="1200" b="1" i="0" u="none" strike="noStrike">
              <a:solidFill>
                <a:schemeClr val="bg1"/>
              </a:solidFill>
              <a:latin typeface="Calibri"/>
              <a:cs typeface="Calibri"/>
            </a:rPr>
            <a:pPr algn="ctr"/>
            <a:t>Rental price distribution by Area (Wuse-2 has the widest Rental Price distribution)</a:t>
          </a:fld>
          <a:endParaRPr lang="en-US" sz="1200" b="1">
            <a:solidFill>
              <a:schemeClr val="bg1"/>
            </a:solidFill>
          </a:endParaRPr>
        </a:p>
      </xdr:txBody>
    </xdr:sp>
    <xdr:clientData/>
  </xdr:twoCellAnchor>
  <xdr:twoCellAnchor editAs="oneCell">
    <xdr:from>
      <xdr:col>4</xdr:col>
      <xdr:colOff>563880</xdr:colOff>
      <xdr:row>1</xdr:row>
      <xdr:rowOff>68580</xdr:rowOff>
    </xdr:from>
    <xdr:to>
      <xdr:col>18</xdr:col>
      <xdr:colOff>201480</xdr:colOff>
      <xdr:row>5</xdr:row>
      <xdr:rowOff>21060</xdr:rowOff>
    </xdr:to>
    <mc:AlternateContent xmlns:mc="http://schemas.openxmlformats.org/markup-compatibility/2006" xmlns:a14="http://schemas.microsoft.com/office/drawing/2010/main">
      <mc:Choice Requires="a14">
        <xdr:graphicFrame macro="">
          <xdr:nvGraphicFramePr>
            <xdr:cNvPr id="32" name="area 2">
              <a:extLst>
                <a:ext uri="{FF2B5EF4-FFF2-40B4-BE49-F238E27FC236}">
                  <a16:creationId xmlns:a16="http://schemas.microsoft.com/office/drawing/2014/main" id="{091876D5-18A1-49BB-B49B-F08DB1C7F727}"/>
                </a:ext>
              </a:extLst>
            </xdr:cNvPr>
            <xdr:cNvGraphicFramePr/>
          </xdr:nvGraphicFramePr>
          <xdr:xfrm>
            <a:off x="0" y="0"/>
            <a:ext cx="0" cy="0"/>
          </xdr:xfrm>
          <a:graphic>
            <a:graphicData uri="http://schemas.microsoft.com/office/drawing/2010/slicer">
              <sle:slicer xmlns:sle="http://schemas.microsoft.com/office/drawing/2010/slicer" name="area 2"/>
            </a:graphicData>
          </a:graphic>
        </xdr:graphicFrame>
      </mc:Choice>
      <mc:Fallback xmlns="">
        <xdr:sp macro="" textlink="">
          <xdr:nvSpPr>
            <xdr:cNvPr id="0" name=""/>
            <xdr:cNvSpPr>
              <a:spLocks noTextEdit="1"/>
            </xdr:cNvSpPr>
          </xdr:nvSpPr>
          <xdr:spPr>
            <a:xfrm>
              <a:off x="3002280" y="251460"/>
              <a:ext cx="8172000" cy="68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472440</xdr:colOff>
      <xdr:row>0</xdr:row>
      <xdr:rowOff>175260</xdr:rowOff>
    </xdr:from>
    <xdr:to>
      <xdr:col>22</xdr:col>
      <xdr:colOff>266040</xdr:colOff>
      <xdr:row>5</xdr:row>
      <xdr:rowOff>88860</xdr:rowOff>
    </xdr:to>
    <mc:AlternateContent xmlns:mc="http://schemas.openxmlformats.org/markup-compatibility/2006" xmlns:a14="http://schemas.microsoft.com/office/drawing/2010/main">
      <mc:Choice Requires="a14">
        <xdr:graphicFrame macro="">
          <xdr:nvGraphicFramePr>
            <xdr:cNvPr id="33" name="Price Tier 2">
              <a:extLst>
                <a:ext uri="{FF2B5EF4-FFF2-40B4-BE49-F238E27FC236}">
                  <a16:creationId xmlns:a16="http://schemas.microsoft.com/office/drawing/2014/main" id="{C66DDACD-5981-4448-8CAB-99C901A4E1E2}"/>
                </a:ext>
              </a:extLst>
            </xdr:cNvPr>
            <xdr:cNvGraphicFramePr/>
          </xdr:nvGraphicFramePr>
          <xdr:xfrm>
            <a:off x="0" y="0"/>
            <a:ext cx="0" cy="0"/>
          </xdr:xfrm>
          <a:graphic>
            <a:graphicData uri="http://schemas.microsoft.com/office/drawing/2010/slicer">
              <sle:slicer xmlns:sle="http://schemas.microsoft.com/office/drawing/2010/slicer" name="Price Tier 2"/>
            </a:graphicData>
          </a:graphic>
        </xdr:graphicFrame>
      </mc:Choice>
      <mc:Fallback xmlns="">
        <xdr:sp macro="" textlink="">
          <xdr:nvSpPr>
            <xdr:cNvPr id="0" name=""/>
            <xdr:cNvSpPr>
              <a:spLocks noTextEdit="1"/>
            </xdr:cNvSpPr>
          </xdr:nvSpPr>
          <xdr:spPr>
            <a:xfrm>
              <a:off x="11445240" y="175260"/>
              <a:ext cx="2232000" cy="82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281940</xdr:colOff>
      <xdr:row>8</xdr:row>
      <xdr:rowOff>99060</xdr:rowOff>
    </xdr:from>
    <xdr:to>
      <xdr:col>10</xdr:col>
      <xdr:colOff>563880</xdr:colOff>
      <xdr:row>35</xdr:row>
      <xdr:rowOff>129300</xdr:rowOff>
    </xdr:to>
    <xdr:graphicFrame macro="">
      <xdr:nvGraphicFramePr>
        <xdr:cNvPr id="34" name="Chart 33">
          <a:extLst>
            <a:ext uri="{FF2B5EF4-FFF2-40B4-BE49-F238E27FC236}">
              <a16:creationId xmlns:a16="http://schemas.microsoft.com/office/drawing/2014/main" id="{125632AB-6DBF-4D47-84CD-0B726F7B3A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167640</xdr:colOff>
      <xdr:row>9</xdr:row>
      <xdr:rowOff>22860</xdr:rowOff>
    </xdr:from>
    <xdr:to>
      <xdr:col>16</xdr:col>
      <xdr:colOff>395640</xdr:colOff>
      <xdr:row>35</xdr:row>
      <xdr:rowOff>163980</xdr:rowOff>
    </xdr:to>
    <xdr:graphicFrame macro="">
      <xdr:nvGraphicFramePr>
        <xdr:cNvPr id="35" name="Chart 34">
          <a:extLst>
            <a:ext uri="{FF2B5EF4-FFF2-40B4-BE49-F238E27FC236}">
              <a16:creationId xmlns:a16="http://schemas.microsoft.com/office/drawing/2014/main" id="{FA9E3649-4DC5-4E94-9098-F3C218FACB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495300</xdr:colOff>
      <xdr:row>9</xdr:row>
      <xdr:rowOff>45720</xdr:rowOff>
    </xdr:from>
    <xdr:to>
      <xdr:col>23</xdr:col>
      <xdr:colOff>80100</xdr:colOff>
      <xdr:row>35</xdr:row>
      <xdr:rowOff>150840</xdr:rowOff>
    </xdr:to>
    <mc:AlternateContent xmlns:mc="http://schemas.openxmlformats.org/markup-compatibility/2006">
      <mc:Choice xmlns:cx2="http://schemas.microsoft.com/office/drawing/2015/10/21/chartex" Requires="cx2">
        <xdr:graphicFrame macro="">
          <xdr:nvGraphicFramePr>
            <xdr:cNvPr id="36" name="Chart 35">
              <a:extLst>
                <a:ext uri="{FF2B5EF4-FFF2-40B4-BE49-F238E27FC236}">
                  <a16:creationId xmlns:a16="http://schemas.microsoft.com/office/drawing/2014/main" id="{89CB1552-869F-4BFA-9557-9B84D29519B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248900" y="1691640"/>
              <a:ext cx="3852000" cy="4860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411480</xdr:colOff>
      <xdr:row>32</xdr:row>
      <xdr:rowOff>0</xdr:rowOff>
    </xdr:from>
    <xdr:to>
      <xdr:col>1</xdr:col>
      <xdr:colOff>377880</xdr:colOff>
      <xdr:row>35</xdr:row>
      <xdr:rowOff>99360</xdr:rowOff>
    </xdr:to>
    <xdr:sp macro="[0]!RentDashboard2LPBotton_Click" textlink="">
      <xdr:nvSpPr>
        <xdr:cNvPr id="37" name="Rent Dashboard 2 LP Botton">
          <a:extLst>
            <a:ext uri="{FF2B5EF4-FFF2-40B4-BE49-F238E27FC236}">
              <a16:creationId xmlns:a16="http://schemas.microsoft.com/office/drawing/2014/main" id="{EADCE665-8A0A-4531-BF4E-D0F54408A96C}"/>
            </a:ext>
          </a:extLst>
        </xdr:cNvPr>
        <xdr:cNvSpPr/>
      </xdr:nvSpPr>
      <xdr:spPr>
        <a:xfrm>
          <a:off x="411480" y="585216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LP</a:t>
          </a:r>
        </a:p>
      </xdr:txBody>
    </xdr:sp>
    <xdr:clientData/>
  </xdr:twoCellAnchor>
  <xdr:twoCellAnchor>
    <xdr:from>
      <xdr:col>1</xdr:col>
      <xdr:colOff>388620</xdr:colOff>
      <xdr:row>32</xdr:row>
      <xdr:rowOff>0</xdr:rowOff>
    </xdr:from>
    <xdr:to>
      <xdr:col>2</xdr:col>
      <xdr:colOff>355020</xdr:colOff>
      <xdr:row>35</xdr:row>
      <xdr:rowOff>99360</xdr:rowOff>
    </xdr:to>
    <xdr:sp macro="[0]!RentDashboard2RD1Botton_Click" textlink="">
      <xdr:nvSpPr>
        <xdr:cNvPr id="38" name="Rent Dashboard 2 RD1 Botton">
          <a:extLst>
            <a:ext uri="{FF2B5EF4-FFF2-40B4-BE49-F238E27FC236}">
              <a16:creationId xmlns:a16="http://schemas.microsoft.com/office/drawing/2014/main" id="{1A620E19-97AC-4EF9-B3BE-A9ED1A18D535}"/>
            </a:ext>
          </a:extLst>
        </xdr:cNvPr>
        <xdr:cNvSpPr/>
      </xdr:nvSpPr>
      <xdr:spPr>
        <a:xfrm>
          <a:off x="998220" y="585216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RD1</a:t>
          </a:r>
        </a:p>
      </xdr:txBody>
    </xdr:sp>
    <xdr:clientData/>
  </xdr:twoCellAnchor>
  <xdr:twoCellAnchor>
    <xdr:from>
      <xdr:col>2</xdr:col>
      <xdr:colOff>373380</xdr:colOff>
      <xdr:row>32</xdr:row>
      <xdr:rowOff>0</xdr:rowOff>
    </xdr:from>
    <xdr:to>
      <xdr:col>3</xdr:col>
      <xdr:colOff>339780</xdr:colOff>
      <xdr:row>35</xdr:row>
      <xdr:rowOff>99360</xdr:rowOff>
    </xdr:to>
    <xdr:sp macro="[0]!RentDashboard2SD1Botton_Click" textlink="">
      <xdr:nvSpPr>
        <xdr:cNvPr id="39" name="Rent Dashboard 2 SD1 Botton">
          <a:extLst>
            <a:ext uri="{FF2B5EF4-FFF2-40B4-BE49-F238E27FC236}">
              <a16:creationId xmlns:a16="http://schemas.microsoft.com/office/drawing/2014/main" id="{66F20B12-31AA-4030-B54D-78452E4FF550}"/>
            </a:ext>
          </a:extLst>
        </xdr:cNvPr>
        <xdr:cNvSpPr/>
      </xdr:nvSpPr>
      <xdr:spPr>
        <a:xfrm>
          <a:off x="1592580" y="585216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SD1</a:t>
          </a:r>
        </a:p>
      </xdr:txBody>
    </xdr:sp>
    <xdr:clientData/>
  </xdr:twoCellAnchor>
  <xdr:twoCellAnchor>
    <xdr:from>
      <xdr:col>3</xdr:col>
      <xdr:colOff>342900</xdr:colOff>
      <xdr:row>32</xdr:row>
      <xdr:rowOff>0</xdr:rowOff>
    </xdr:from>
    <xdr:to>
      <xdr:col>4</xdr:col>
      <xdr:colOff>309300</xdr:colOff>
      <xdr:row>35</xdr:row>
      <xdr:rowOff>99360</xdr:rowOff>
    </xdr:to>
    <xdr:sp macro="[0]!RentDashboard2SD2Botton_Click" textlink="">
      <xdr:nvSpPr>
        <xdr:cNvPr id="40" name="Rent Dashboard 2 SD2 Botton">
          <a:extLst>
            <a:ext uri="{FF2B5EF4-FFF2-40B4-BE49-F238E27FC236}">
              <a16:creationId xmlns:a16="http://schemas.microsoft.com/office/drawing/2014/main" id="{178C6AEF-961C-4535-800B-C9E02665DFB8}"/>
            </a:ext>
          </a:extLst>
        </xdr:cNvPr>
        <xdr:cNvSpPr/>
      </xdr:nvSpPr>
      <xdr:spPr>
        <a:xfrm>
          <a:off x="2171700" y="585216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SD2</a:t>
          </a:r>
        </a:p>
      </xdr:txBody>
    </xdr:sp>
    <xdr:clientData/>
  </xdr:twoCellAnchor>
  <xdr:twoCellAnchor>
    <xdr:from>
      <xdr:col>1</xdr:col>
      <xdr:colOff>358140</xdr:colOff>
      <xdr:row>32</xdr:row>
      <xdr:rowOff>106680</xdr:rowOff>
    </xdr:from>
    <xdr:to>
      <xdr:col>1</xdr:col>
      <xdr:colOff>358140</xdr:colOff>
      <xdr:row>34</xdr:row>
      <xdr:rowOff>172920</xdr:rowOff>
    </xdr:to>
    <xdr:cxnSp macro="">
      <xdr:nvCxnSpPr>
        <xdr:cNvPr id="41" name="Straight Connector 40">
          <a:extLst>
            <a:ext uri="{FF2B5EF4-FFF2-40B4-BE49-F238E27FC236}">
              <a16:creationId xmlns:a16="http://schemas.microsoft.com/office/drawing/2014/main" id="{59B98B6F-5E90-4734-9B30-90C4F126CBBA}"/>
            </a:ext>
          </a:extLst>
        </xdr:cNvPr>
        <xdr:cNvCxnSpPr/>
      </xdr:nvCxnSpPr>
      <xdr:spPr>
        <a:xfrm>
          <a:off x="967740" y="595884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twoCellAnchor>
    <xdr:from>
      <xdr:col>2</xdr:col>
      <xdr:colOff>358140</xdr:colOff>
      <xdr:row>32</xdr:row>
      <xdr:rowOff>106680</xdr:rowOff>
    </xdr:from>
    <xdr:to>
      <xdr:col>2</xdr:col>
      <xdr:colOff>358140</xdr:colOff>
      <xdr:row>34</xdr:row>
      <xdr:rowOff>172920</xdr:rowOff>
    </xdr:to>
    <xdr:cxnSp macro="">
      <xdr:nvCxnSpPr>
        <xdr:cNvPr id="42" name="Straight Connector 41">
          <a:extLst>
            <a:ext uri="{FF2B5EF4-FFF2-40B4-BE49-F238E27FC236}">
              <a16:creationId xmlns:a16="http://schemas.microsoft.com/office/drawing/2014/main" id="{B78EC475-10E7-4DAB-AD94-E6346AE46924}"/>
            </a:ext>
          </a:extLst>
        </xdr:cNvPr>
        <xdr:cNvCxnSpPr/>
      </xdr:nvCxnSpPr>
      <xdr:spPr>
        <a:xfrm>
          <a:off x="1577340" y="595884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twoCellAnchor>
    <xdr:from>
      <xdr:col>3</xdr:col>
      <xdr:colOff>320040</xdr:colOff>
      <xdr:row>32</xdr:row>
      <xdr:rowOff>106680</xdr:rowOff>
    </xdr:from>
    <xdr:to>
      <xdr:col>3</xdr:col>
      <xdr:colOff>320040</xdr:colOff>
      <xdr:row>34</xdr:row>
      <xdr:rowOff>172920</xdr:rowOff>
    </xdr:to>
    <xdr:cxnSp macro="">
      <xdr:nvCxnSpPr>
        <xdr:cNvPr id="43" name="Straight Connector 42">
          <a:extLst>
            <a:ext uri="{FF2B5EF4-FFF2-40B4-BE49-F238E27FC236}">
              <a16:creationId xmlns:a16="http://schemas.microsoft.com/office/drawing/2014/main" id="{8ACE4B01-8718-4B57-9FAA-3CFB0497E7E9}"/>
            </a:ext>
          </a:extLst>
        </xdr:cNvPr>
        <xdr:cNvCxnSpPr/>
      </xdr:nvCxnSpPr>
      <xdr:spPr>
        <a:xfrm>
          <a:off x="2148840" y="595884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1546860</xdr:colOff>
      <xdr:row>10</xdr:row>
      <xdr:rowOff>91440</xdr:rowOff>
    </xdr:from>
    <xdr:to>
      <xdr:col>4</xdr:col>
      <xdr:colOff>960120</xdr:colOff>
      <xdr:row>23</xdr:row>
      <xdr:rowOff>180975</xdr:rowOff>
    </xdr:to>
    <mc:AlternateContent xmlns:mc="http://schemas.openxmlformats.org/markup-compatibility/2006" xmlns:a14="http://schemas.microsoft.com/office/drawing/2010/main">
      <mc:Choice Requires="a14">
        <xdr:graphicFrame macro="">
          <xdr:nvGraphicFramePr>
            <xdr:cNvPr id="7" name="area 3">
              <a:extLst>
                <a:ext uri="{FF2B5EF4-FFF2-40B4-BE49-F238E27FC236}">
                  <a16:creationId xmlns:a16="http://schemas.microsoft.com/office/drawing/2014/main" id="{450F00D9-58CD-708E-E57E-48800CFB1440}"/>
                </a:ext>
              </a:extLst>
            </xdr:cNvPr>
            <xdr:cNvGraphicFramePr/>
          </xdr:nvGraphicFramePr>
          <xdr:xfrm>
            <a:off x="0" y="0"/>
            <a:ext cx="0" cy="0"/>
          </xdr:xfrm>
          <a:graphic>
            <a:graphicData uri="http://schemas.microsoft.com/office/drawing/2010/slicer">
              <sle:slicer xmlns:sle="http://schemas.microsoft.com/office/drawing/2010/slicer" name="area 3"/>
            </a:graphicData>
          </a:graphic>
        </xdr:graphicFrame>
      </mc:Choice>
      <mc:Fallback xmlns="">
        <xdr:sp macro="" textlink="">
          <xdr:nvSpPr>
            <xdr:cNvPr id="0" name=""/>
            <xdr:cNvSpPr>
              <a:spLocks noTextEdit="1"/>
            </xdr:cNvSpPr>
          </xdr:nvSpPr>
          <xdr:spPr>
            <a:xfrm>
              <a:off x="4076700" y="19202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137160</xdr:colOff>
      <xdr:row>13</xdr:row>
      <xdr:rowOff>22860</xdr:rowOff>
    </xdr:from>
    <xdr:to>
      <xdr:col>6</xdr:col>
      <xdr:colOff>899160</xdr:colOff>
      <xdr:row>26</xdr:row>
      <xdr:rowOff>112395</xdr:rowOff>
    </xdr:to>
    <mc:AlternateContent xmlns:mc="http://schemas.openxmlformats.org/markup-compatibility/2006" xmlns:a14="http://schemas.microsoft.com/office/drawing/2010/main">
      <mc:Choice Requires="a14">
        <xdr:graphicFrame macro="">
          <xdr:nvGraphicFramePr>
            <xdr:cNvPr id="8" name="Price Tier 3">
              <a:extLst>
                <a:ext uri="{FF2B5EF4-FFF2-40B4-BE49-F238E27FC236}">
                  <a16:creationId xmlns:a16="http://schemas.microsoft.com/office/drawing/2014/main" id="{96C34DC4-646B-041F-7453-9F6787D7388F}"/>
                </a:ext>
              </a:extLst>
            </xdr:cNvPr>
            <xdr:cNvGraphicFramePr/>
          </xdr:nvGraphicFramePr>
          <xdr:xfrm>
            <a:off x="0" y="0"/>
            <a:ext cx="0" cy="0"/>
          </xdr:xfrm>
          <a:graphic>
            <a:graphicData uri="http://schemas.microsoft.com/office/drawing/2010/slicer">
              <sle:slicer xmlns:sle="http://schemas.microsoft.com/office/drawing/2010/slicer" name="Price Tier 3"/>
            </a:graphicData>
          </a:graphic>
        </xdr:graphicFrame>
      </mc:Choice>
      <mc:Fallback xmlns="">
        <xdr:sp macro="" textlink="">
          <xdr:nvSpPr>
            <xdr:cNvPr id="0" name=""/>
            <xdr:cNvSpPr>
              <a:spLocks noTextEdit="1"/>
            </xdr:cNvSpPr>
          </xdr:nvSpPr>
          <xdr:spPr>
            <a:xfrm>
              <a:off x="6271260" y="24003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23</xdr:col>
      <xdr:colOff>586740</xdr:colOff>
      <xdr:row>44</xdr:row>
      <xdr:rowOff>152400</xdr:rowOff>
    </xdr:to>
    <xdr:pic>
      <xdr:nvPicPr>
        <xdr:cNvPr id="2" name="Picture 1">
          <a:extLst>
            <a:ext uri="{FF2B5EF4-FFF2-40B4-BE49-F238E27FC236}">
              <a16:creationId xmlns:a16="http://schemas.microsoft.com/office/drawing/2014/main" id="{D8CAEDD0-94E2-4965-9C06-D7F39936D2D1}"/>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120" b="34619"/>
        <a:stretch>
          <a:fillRect/>
        </a:stretch>
      </xdr:blipFill>
      <xdr:spPr>
        <a:xfrm>
          <a:off x="0" y="0"/>
          <a:ext cx="14607540" cy="8199120"/>
        </a:xfrm>
        <a:prstGeom prst="rect">
          <a:avLst/>
        </a:prstGeom>
      </xdr:spPr>
    </xdr:pic>
    <xdr:clientData/>
  </xdr:twoCellAnchor>
  <xdr:twoCellAnchor>
    <xdr:from>
      <xdr:col>0</xdr:col>
      <xdr:colOff>320040</xdr:colOff>
      <xdr:row>1</xdr:row>
      <xdr:rowOff>152400</xdr:rowOff>
    </xdr:from>
    <xdr:to>
      <xdr:col>4</xdr:col>
      <xdr:colOff>350520</xdr:colOff>
      <xdr:row>4</xdr:row>
      <xdr:rowOff>114300</xdr:rowOff>
    </xdr:to>
    <xdr:sp macro="" textlink="">
      <xdr:nvSpPr>
        <xdr:cNvPr id="3" name="Rectangle: Rounded Corners 2">
          <a:extLst>
            <a:ext uri="{FF2B5EF4-FFF2-40B4-BE49-F238E27FC236}">
              <a16:creationId xmlns:a16="http://schemas.microsoft.com/office/drawing/2014/main" id="{A2CE6B06-7D08-4008-BDB1-EBDCC911014E}"/>
            </a:ext>
          </a:extLst>
        </xdr:cNvPr>
        <xdr:cNvSpPr/>
      </xdr:nvSpPr>
      <xdr:spPr>
        <a:xfrm>
          <a:off x="320040" y="335280"/>
          <a:ext cx="2468880" cy="510540"/>
        </a:xfrm>
        <a:prstGeom prst="roundRect">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rgbClr val="FFC000"/>
              </a:solidFill>
            </a:rPr>
            <a:t>Sale Dashboard</a:t>
          </a:r>
          <a:r>
            <a:rPr lang="en-US" sz="2000" b="1" baseline="0">
              <a:solidFill>
                <a:srgbClr val="FFC000"/>
              </a:solidFill>
            </a:rPr>
            <a:t> 1</a:t>
          </a:r>
          <a:endParaRPr lang="en-US" sz="1100" b="1">
            <a:solidFill>
              <a:srgbClr val="FFC000"/>
            </a:solidFill>
          </a:endParaRPr>
        </a:p>
      </xdr:txBody>
    </xdr:sp>
    <xdr:clientData/>
  </xdr:twoCellAnchor>
  <xdr:twoCellAnchor>
    <xdr:from>
      <xdr:col>0</xdr:col>
      <xdr:colOff>441960</xdr:colOff>
      <xdr:row>6</xdr:row>
      <xdr:rowOff>7620</xdr:rowOff>
    </xdr:from>
    <xdr:to>
      <xdr:col>4</xdr:col>
      <xdr:colOff>235560</xdr:colOff>
      <xdr:row>31</xdr:row>
      <xdr:rowOff>15240</xdr:rowOff>
    </xdr:to>
    <xdr:sp macro="" textlink="">
      <xdr:nvSpPr>
        <xdr:cNvPr id="4" name="Rectangle: Rounded Corners 3">
          <a:extLst>
            <a:ext uri="{FF2B5EF4-FFF2-40B4-BE49-F238E27FC236}">
              <a16:creationId xmlns:a16="http://schemas.microsoft.com/office/drawing/2014/main" id="{19DD2345-E3D6-424C-8312-E3572BD8A6F0}"/>
            </a:ext>
          </a:extLst>
        </xdr:cNvPr>
        <xdr:cNvSpPr/>
      </xdr:nvSpPr>
      <xdr:spPr>
        <a:xfrm>
          <a:off x="441960" y="1104900"/>
          <a:ext cx="2232000" cy="4579620"/>
        </a:xfrm>
        <a:prstGeom prst="roundRect">
          <a:avLst>
            <a:gd name="adj" fmla="val 8951"/>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0</xdr:col>
      <xdr:colOff>441960</xdr:colOff>
      <xdr:row>5</xdr:row>
      <xdr:rowOff>121920</xdr:rowOff>
    </xdr:from>
    <xdr:to>
      <xdr:col>4</xdr:col>
      <xdr:colOff>235560</xdr:colOff>
      <xdr:row>8</xdr:row>
      <xdr:rowOff>83820</xdr:rowOff>
    </xdr:to>
    <xdr:sp macro="" textlink="">
      <xdr:nvSpPr>
        <xdr:cNvPr id="5" name="Rectangle: Rounded Corners 4">
          <a:extLst>
            <a:ext uri="{FF2B5EF4-FFF2-40B4-BE49-F238E27FC236}">
              <a16:creationId xmlns:a16="http://schemas.microsoft.com/office/drawing/2014/main" id="{21B66453-77D6-4081-BC3D-24B7F67F33D0}"/>
            </a:ext>
          </a:extLst>
        </xdr:cNvPr>
        <xdr:cNvSpPr/>
      </xdr:nvSpPr>
      <xdr:spPr>
        <a:xfrm>
          <a:off x="441960" y="103632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 Sale</a:t>
          </a:r>
          <a:r>
            <a:rPr lang="en-US" sz="1400" b="1" baseline="0"/>
            <a:t> Listings</a:t>
          </a:r>
          <a:endParaRPr lang="en-US" sz="1100" b="1"/>
        </a:p>
      </xdr:txBody>
    </xdr:sp>
    <xdr:clientData/>
  </xdr:twoCellAnchor>
  <xdr:twoCellAnchor>
    <xdr:from>
      <xdr:col>0</xdr:col>
      <xdr:colOff>441960</xdr:colOff>
      <xdr:row>7</xdr:row>
      <xdr:rowOff>167640</xdr:rowOff>
    </xdr:from>
    <xdr:to>
      <xdr:col>4</xdr:col>
      <xdr:colOff>235560</xdr:colOff>
      <xdr:row>10</xdr:row>
      <xdr:rowOff>129540</xdr:rowOff>
    </xdr:to>
    <xdr:sp macro="" textlink="'Pivot Table Sale'!$O$2">
      <xdr:nvSpPr>
        <xdr:cNvPr id="6" name="Rectangle: Rounded Corners 5">
          <a:extLst>
            <a:ext uri="{FF2B5EF4-FFF2-40B4-BE49-F238E27FC236}">
              <a16:creationId xmlns:a16="http://schemas.microsoft.com/office/drawing/2014/main" id="{6B2D19F6-A035-4BCA-9905-E37BDB5C236A}"/>
            </a:ext>
          </a:extLst>
        </xdr:cNvPr>
        <xdr:cNvSpPr/>
      </xdr:nvSpPr>
      <xdr:spPr>
        <a:xfrm>
          <a:off x="441960" y="144780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2C8AB5-28D3-4CEF-9EB5-B83DC587EE63}" type="TxLink">
            <a:rPr lang="en-US" sz="3600" b="1" i="0" u="none" strike="noStrike">
              <a:solidFill>
                <a:schemeClr val="bg1"/>
              </a:solidFill>
              <a:latin typeface="Calibri"/>
              <a:cs typeface="Calibri"/>
            </a:rPr>
            <a:pPr algn="ctr"/>
            <a:t>231</a:t>
          </a:fld>
          <a:endParaRPr lang="en-US" sz="41300" b="1">
            <a:solidFill>
              <a:schemeClr val="bg1"/>
            </a:solidFill>
          </a:endParaRPr>
        </a:p>
      </xdr:txBody>
    </xdr:sp>
    <xdr:clientData/>
  </xdr:twoCellAnchor>
  <xdr:twoCellAnchor>
    <xdr:from>
      <xdr:col>0</xdr:col>
      <xdr:colOff>441960</xdr:colOff>
      <xdr:row>11</xdr:row>
      <xdr:rowOff>144780</xdr:rowOff>
    </xdr:from>
    <xdr:to>
      <xdr:col>4</xdr:col>
      <xdr:colOff>235560</xdr:colOff>
      <xdr:row>14</xdr:row>
      <xdr:rowOff>106680</xdr:rowOff>
    </xdr:to>
    <xdr:sp macro="" textlink="">
      <xdr:nvSpPr>
        <xdr:cNvPr id="7" name="Rectangle: Rounded Corners 6">
          <a:extLst>
            <a:ext uri="{FF2B5EF4-FFF2-40B4-BE49-F238E27FC236}">
              <a16:creationId xmlns:a16="http://schemas.microsoft.com/office/drawing/2014/main" id="{B67ADCE8-1076-4CE0-837D-125A6FAD9F54}"/>
            </a:ext>
          </a:extLst>
        </xdr:cNvPr>
        <xdr:cNvSpPr/>
      </xdr:nvSpPr>
      <xdr:spPr>
        <a:xfrm>
          <a:off x="441960" y="215646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Median</a:t>
          </a:r>
          <a:r>
            <a:rPr lang="en-US" sz="1400" b="1" baseline="0"/>
            <a:t> Sale Asking Price</a:t>
          </a:r>
          <a:endParaRPr lang="en-US" sz="1400" b="1"/>
        </a:p>
      </xdr:txBody>
    </xdr:sp>
    <xdr:clientData/>
  </xdr:twoCellAnchor>
  <xdr:twoCellAnchor>
    <xdr:from>
      <xdr:col>0</xdr:col>
      <xdr:colOff>441960</xdr:colOff>
      <xdr:row>14</xdr:row>
      <xdr:rowOff>7620</xdr:rowOff>
    </xdr:from>
    <xdr:to>
      <xdr:col>4</xdr:col>
      <xdr:colOff>235560</xdr:colOff>
      <xdr:row>16</xdr:row>
      <xdr:rowOff>152400</xdr:rowOff>
    </xdr:to>
    <xdr:sp macro="" textlink="'Pivot Table Sale'!$O$3">
      <xdr:nvSpPr>
        <xdr:cNvPr id="8" name="Rectangle: Rounded Corners 7">
          <a:extLst>
            <a:ext uri="{FF2B5EF4-FFF2-40B4-BE49-F238E27FC236}">
              <a16:creationId xmlns:a16="http://schemas.microsoft.com/office/drawing/2014/main" id="{1BD99D41-F83B-4BE1-9D4B-5E086067AB21}"/>
            </a:ext>
          </a:extLst>
        </xdr:cNvPr>
        <xdr:cNvSpPr/>
      </xdr:nvSpPr>
      <xdr:spPr>
        <a:xfrm>
          <a:off x="441960" y="256794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8D8538C-C79C-410F-9CC2-6EC67BB9AD98}" type="TxLink">
            <a:rPr lang="en-US" sz="3200" b="1" i="0" u="none" strike="noStrike">
              <a:solidFill>
                <a:schemeClr val="bg1"/>
              </a:solidFill>
              <a:latin typeface="Calibri"/>
              <a:cs typeface="Calibri"/>
            </a:rPr>
            <a:pPr algn="ctr"/>
            <a:t>₦260.0M</a:t>
          </a:fld>
          <a:endParaRPr lang="en-US" sz="8000" b="1">
            <a:solidFill>
              <a:schemeClr val="bg1"/>
            </a:solidFill>
          </a:endParaRPr>
        </a:p>
      </xdr:txBody>
    </xdr:sp>
    <xdr:clientData/>
  </xdr:twoCellAnchor>
  <xdr:twoCellAnchor>
    <xdr:from>
      <xdr:col>0</xdr:col>
      <xdr:colOff>373380</xdr:colOff>
      <xdr:row>17</xdr:row>
      <xdr:rowOff>160020</xdr:rowOff>
    </xdr:from>
    <xdr:to>
      <xdr:col>4</xdr:col>
      <xdr:colOff>310980</xdr:colOff>
      <xdr:row>20</xdr:row>
      <xdr:rowOff>121920</xdr:rowOff>
    </xdr:to>
    <xdr:sp macro="" textlink="">
      <xdr:nvSpPr>
        <xdr:cNvPr id="9" name="Rectangle: Rounded Corners 8">
          <a:extLst>
            <a:ext uri="{FF2B5EF4-FFF2-40B4-BE49-F238E27FC236}">
              <a16:creationId xmlns:a16="http://schemas.microsoft.com/office/drawing/2014/main" id="{009B4EC9-C3E0-4188-B205-11F798136CD6}"/>
            </a:ext>
          </a:extLst>
        </xdr:cNvPr>
        <xdr:cNvSpPr/>
      </xdr:nvSpPr>
      <xdr:spPr>
        <a:xfrm>
          <a:off x="373380" y="3268980"/>
          <a:ext cx="2376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Minimum</a:t>
          </a:r>
          <a:r>
            <a:rPr lang="en-US" sz="1600" b="1" baseline="0"/>
            <a:t> </a:t>
          </a:r>
          <a:r>
            <a:rPr lang="en-US" sz="1400" b="1" baseline="0">
              <a:solidFill>
                <a:schemeClr val="lt1"/>
              </a:solidFill>
              <a:effectLst/>
              <a:latin typeface="+mn-lt"/>
              <a:ea typeface="+mn-ea"/>
              <a:cs typeface="+mn-cs"/>
            </a:rPr>
            <a:t>Sale Asking Price</a:t>
          </a:r>
          <a:endParaRPr lang="en-US" sz="1600" b="1"/>
        </a:p>
      </xdr:txBody>
    </xdr:sp>
    <xdr:clientData/>
  </xdr:twoCellAnchor>
  <xdr:twoCellAnchor>
    <xdr:from>
      <xdr:col>0</xdr:col>
      <xdr:colOff>441960</xdr:colOff>
      <xdr:row>20</xdr:row>
      <xdr:rowOff>22860</xdr:rowOff>
    </xdr:from>
    <xdr:to>
      <xdr:col>4</xdr:col>
      <xdr:colOff>235560</xdr:colOff>
      <xdr:row>22</xdr:row>
      <xdr:rowOff>167640</xdr:rowOff>
    </xdr:to>
    <xdr:sp macro="" textlink="'Pivot Table Sale'!$O$4">
      <xdr:nvSpPr>
        <xdr:cNvPr id="10" name="Rectangle: Rounded Corners 9">
          <a:extLst>
            <a:ext uri="{FF2B5EF4-FFF2-40B4-BE49-F238E27FC236}">
              <a16:creationId xmlns:a16="http://schemas.microsoft.com/office/drawing/2014/main" id="{28410FCC-6A33-4E77-893B-030B257BE823}"/>
            </a:ext>
          </a:extLst>
        </xdr:cNvPr>
        <xdr:cNvSpPr/>
      </xdr:nvSpPr>
      <xdr:spPr>
        <a:xfrm>
          <a:off x="441960" y="368046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7EB1096-759E-4BCD-8314-6058F36853FE}" type="TxLink">
            <a:rPr lang="en-US" sz="3200" b="1" i="0" u="none" strike="noStrike">
              <a:solidFill>
                <a:schemeClr val="bg1"/>
              </a:solidFill>
              <a:latin typeface="Calibri"/>
              <a:cs typeface="Calibri"/>
            </a:rPr>
            <a:pPr algn="ctr"/>
            <a:t>₦36.5M</a:t>
          </a:fld>
          <a:endParaRPr lang="en-US" sz="8000" b="1">
            <a:solidFill>
              <a:schemeClr val="bg1"/>
            </a:solidFill>
          </a:endParaRPr>
        </a:p>
      </xdr:txBody>
    </xdr:sp>
    <xdr:clientData/>
  </xdr:twoCellAnchor>
  <xdr:twoCellAnchor>
    <xdr:from>
      <xdr:col>0</xdr:col>
      <xdr:colOff>403860</xdr:colOff>
      <xdr:row>23</xdr:row>
      <xdr:rowOff>152400</xdr:rowOff>
    </xdr:from>
    <xdr:to>
      <xdr:col>4</xdr:col>
      <xdr:colOff>269460</xdr:colOff>
      <xdr:row>26</xdr:row>
      <xdr:rowOff>114300</xdr:rowOff>
    </xdr:to>
    <xdr:sp macro="" textlink="">
      <xdr:nvSpPr>
        <xdr:cNvPr id="11" name="Rectangle: Rounded Corners 10">
          <a:extLst>
            <a:ext uri="{FF2B5EF4-FFF2-40B4-BE49-F238E27FC236}">
              <a16:creationId xmlns:a16="http://schemas.microsoft.com/office/drawing/2014/main" id="{4E7DEFAE-E969-459F-838D-C386A839FE17}"/>
            </a:ext>
          </a:extLst>
        </xdr:cNvPr>
        <xdr:cNvSpPr/>
      </xdr:nvSpPr>
      <xdr:spPr>
        <a:xfrm>
          <a:off x="403860" y="4358640"/>
          <a:ext cx="2304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Maximum</a:t>
          </a:r>
          <a:r>
            <a:rPr lang="en-US" sz="1400" b="1" baseline="0"/>
            <a:t> Sale Asking Price</a:t>
          </a:r>
          <a:endParaRPr lang="en-US" sz="1400" b="1"/>
        </a:p>
      </xdr:txBody>
    </xdr:sp>
    <xdr:clientData/>
  </xdr:twoCellAnchor>
  <xdr:twoCellAnchor>
    <xdr:from>
      <xdr:col>0</xdr:col>
      <xdr:colOff>449580</xdr:colOff>
      <xdr:row>26</xdr:row>
      <xdr:rowOff>7620</xdr:rowOff>
    </xdr:from>
    <xdr:to>
      <xdr:col>4</xdr:col>
      <xdr:colOff>243180</xdr:colOff>
      <xdr:row>28</xdr:row>
      <xdr:rowOff>152400</xdr:rowOff>
    </xdr:to>
    <xdr:sp macro="" textlink="'Pivot Table Sale'!$O$5">
      <xdr:nvSpPr>
        <xdr:cNvPr id="12" name="Rectangle: Rounded Corners 11">
          <a:extLst>
            <a:ext uri="{FF2B5EF4-FFF2-40B4-BE49-F238E27FC236}">
              <a16:creationId xmlns:a16="http://schemas.microsoft.com/office/drawing/2014/main" id="{D83C832C-96C6-4613-8114-88A3DF368AD9}"/>
            </a:ext>
          </a:extLst>
        </xdr:cNvPr>
        <xdr:cNvSpPr/>
      </xdr:nvSpPr>
      <xdr:spPr>
        <a:xfrm>
          <a:off x="449580" y="476250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B9145A-0767-4736-A912-11A2136C60D0}" type="TxLink">
            <a:rPr lang="en-US" sz="3200" b="1" i="0" u="none" strike="noStrike">
              <a:solidFill>
                <a:schemeClr val="bg1"/>
              </a:solidFill>
              <a:latin typeface="Calibri"/>
              <a:cs typeface="Calibri"/>
            </a:rPr>
            <a:pPr algn="ctr"/>
            <a:t>₦5,000.0M</a:t>
          </a:fld>
          <a:endParaRPr lang="en-US" sz="8000" b="1">
            <a:solidFill>
              <a:schemeClr val="bg1"/>
            </a:solidFill>
          </a:endParaRPr>
        </a:p>
      </xdr:txBody>
    </xdr:sp>
    <xdr:clientData/>
  </xdr:twoCellAnchor>
  <xdr:twoCellAnchor>
    <xdr:from>
      <xdr:col>0</xdr:col>
      <xdr:colOff>579120</xdr:colOff>
      <xdr:row>10</xdr:row>
      <xdr:rowOff>175260</xdr:rowOff>
    </xdr:from>
    <xdr:to>
      <xdr:col>4</xdr:col>
      <xdr:colOff>84720</xdr:colOff>
      <xdr:row>10</xdr:row>
      <xdr:rowOff>175260</xdr:rowOff>
    </xdr:to>
    <xdr:cxnSp macro="">
      <xdr:nvCxnSpPr>
        <xdr:cNvPr id="13" name="Straight Connector 12">
          <a:extLst>
            <a:ext uri="{FF2B5EF4-FFF2-40B4-BE49-F238E27FC236}">
              <a16:creationId xmlns:a16="http://schemas.microsoft.com/office/drawing/2014/main" id="{F5FC2AA6-8C8E-4A1E-9D23-9F6BDDF3234F}"/>
            </a:ext>
          </a:extLst>
        </xdr:cNvPr>
        <xdr:cNvCxnSpPr/>
      </xdr:nvCxnSpPr>
      <xdr:spPr>
        <a:xfrm>
          <a:off x="579120" y="200406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579120</xdr:colOff>
      <xdr:row>17</xdr:row>
      <xdr:rowOff>30480</xdr:rowOff>
    </xdr:from>
    <xdr:to>
      <xdr:col>4</xdr:col>
      <xdr:colOff>84720</xdr:colOff>
      <xdr:row>17</xdr:row>
      <xdr:rowOff>30480</xdr:rowOff>
    </xdr:to>
    <xdr:cxnSp macro="">
      <xdr:nvCxnSpPr>
        <xdr:cNvPr id="14" name="Straight Connector 13">
          <a:extLst>
            <a:ext uri="{FF2B5EF4-FFF2-40B4-BE49-F238E27FC236}">
              <a16:creationId xmlns:a16="http://schemas.microsoft.com/office/drawing/2014/main" id="{6618184A-6A8B-4156-8A42-9940A693B063}"/>
            </a:ext>
          </a:extLst>
        </xdr:cNvPr>
        <xdr:cNvCxnSpPr/>
      </xdr:nvCxnSpPr>
      <xdr:spPr>
        <a:xfrm>
          <a:off x="579120" y="313944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579120</xdr:colOff>
      <xdr:row>23</xdr:row>
      <xdr:rowOff>38100</xdr:rowOff>
    </xdr:from>
    <xdr:to>
      <xdr:col>4</xdr:col>
      <xdr:colOff>84720</xdr:colOff>
      <xdr:row>23</xdr:row>
      <xdr:rowOff>38100</xdr:rowOff>
    </xdr:to>
    <xdr:cxnSp macro="">
      <xdr:nvCxnSpPr>
        <xdr:cNvPr id="15" name="Straight Connector 14">
          <a:extLst>
            <a:ext uri="{FF2B5EF4-FFF2-40B4-BE49-F238E27FC236}">
              <a16:creationId xmlns:a16="http://schemas.microsoft.com/office/drawing/2014/main" id="{5896464E-F0B7-4E1D-ADC5-AA7F41D0EFD8}"/>
            </a:ext>
          </a:extLst>
        </xdr:cNvPr>
        <xdr:cNvCxnSpPr/>
      </xdr:nvCxnSpPr>
      <xdr:spPr>
        <a:xfrm>
          <a:off x="579120" y="424434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579120</xdr:colOff>
      <xdr:row>29</xdr:row>
      <xdr:rowOff>38100</xdr:rowOff>
    </xdr:from>
    <xdr:to>
      <xdr:col>4</xdr:col>
      <xdr:colOff>84720</xdr:colOff>
      <xdr:row>29</xdr:row>
      <xdr:rowOff>38100</xdr:rowOff>
    </xdr:to>
    <xdr:cxnSp macro="">
      <xdr:nvCxnSpPr>
        <xdr:cNvPr id="16" name="Straight Connector 15">
          <a:extLst>
            <a:ext uri="{FF2B5EF4-FFF2-40B4-BE49-F238E27FC236}">
              <a16:creationId xmlns:a16="http://schemas.microsoft.com/office/drawing/2014/main" id="{E22DA3BE-8E01-423F-B5D0-F09AEF1369F7}"/>
            </a:ext>
          </a:extLst>
        </xdr:cNvPr>
        <xdr:cNvCxnSpPr/>
      </xdr:nvCxnSpPr>
      <xdr:spPr>
        <a:xfrm>
          <a:off x="579120" y="534162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xdr:col>
      <xdr:colOff>297180</xdr:colOff>
      <xdr:row>6</xdr:row>
      <xdr:rowOff>7620</xdr:rowOff>
    </xdr:from>
    <xdr:to>
      <xdr:col>11</xdr:col>
      <xdr:colOff>97980</xdr:colOff>
      <xdr:row>35</xdr:row>
      <xdr:rowOff>176100</xdr:rowOff>
    </xdr:to>
    <xdr:sp macro="" textlink="">
      <xdr:nvSpPr>
        <xdr:cNvPr id="17" name="Rectangle: Rounded Corners 16">
          <a:extLst>
            <a:ext uri="{FF2B5EF4-FFF2-40B4-BE49-F238E27FC236}">
              <a16:creationId xmlns:a16="http://schemas.microsoft.com/office/drawing/2014/main" id="{BE38E8F0-7A7A-436E-8FBE-8236C0D0AFF2}"/>
            </a:ext>
          </a:extLst>
        </xdr:cNvPr>
        <xdr:cNvSpPr/>
      </xdr:nvSpPr>
      <xdr:spPr>
        <a:xfrm>
          <a:off x="2735580" y="1104900"/>
          <a:ext cx="4068000" cy="5472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0</xdr:col>
      <xdr:colOff>441960</xdr:colOff>
      <xdr:row>32</xdr:row>
      <xdr:rowOff>30480</xdr:rowOff>
    </xdr:from>
    <xdr:to>
      <xdr:col>4</xdr:col>
      <xdr:colOff>235560</xdr:colOff>
      <xdr:row>35</xdr:row>
      <xdr:rowOff>57840</xdr:rowOff>
    </xdr:to>
    <xdr:sp macro="" textlink="">
      <xdr:nvSpPr>
        <xdr:cNvPr id="19" name="Rectangle: Rounded Corners 18">
          <a:extLst>
            <a:ext uri="{FF2B5EF4-FFF2-40B4-BE49-F238E27FC236}">
              <a16:creationId xmlns:a16="http://schemas.microsoft.com/office/drawing/2014/main" id="{8098068C-784D-4528-9322-7BB86C6FEF8F}"/>
            </a:ext>
          </a:extLst>
        </xdr:cNvPr>
        <xdr:cNvSpPr/>
      </xdr:nvSpPr>
      <xdr:spPr>
        <a:xfrm>
          <a:off x="441960" y="5882640"/>
          <a:ext cx="2232000" cy="576000"/>
        </a:xfrm>
        <a:prstGeom prst="roundRect">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p>
      </xdr:txBody>
    </xdr:sp>
    <xdr:clientData/>
  </xdr:twoCellAnchor>
  <xdr:twoCellAnchor>
    <xdr:from>
      <xdr:col>4</xdr:col>
      <xdr:colOff>289560</xdr:colOff>
      <xdr:row>6</xdr:row>
      <xdr:rowOff>0</xdr:rowOff>
    </xdr:from>
    <xdr:to>
      <xdr:col>11</xdr:col>
      <xdr:colOff>99060</xdr:colOff>
      <xdr:row>8</xdr:row>
      <xdr:rowOff>144780</xdr:rowOff>
    </xdr:to>
    <xdr:sp macro="" textlink="'Pivot Table Sale'!$A$3:$B$3">
      <xdr:nvSpPr>
        <xdr:cNvPr id="20" name="Rectangle: Rounded Corners 19">
          <a:extLst>
            <a:ext uri="{FF2B5EF4-FFF2-40B4-BE49-F238E27FC236}">
              <a16:creationId xmlns:a16="http://schemas.microsoft.com/office/drawing/2014/main" id="{443944F4-01A9-418F-8A22-608F17BF0E0A}"/>
            </a:ext>
          </a:extLst>
        </xdr:cNvPr>
        <xdr:cNvSpPr/>
      </xdr:nvSpPr>
      <xdr:spPr>
        <a:xfrm>
          <a:off x="2727960" y="1097280"/>
          <a:ext cx="40767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DB6331D-36D1-4A62-AFC7-09B54E67EE61}" type="TxLink">
            <a:rPr lang="en-US" sz="1200" b="1" i="0" u="none" strike="noStrike">
              <a:solidFill>
                <a:schemeClr val="bg1"/>
              </a:solidFill>
              <a:latin typeface="Calibri"/>
              <a:cs typeface="Calibri"/>
            </a:rPr>
            <a:pPr algn="ctr"/>
            <a:t>Median Sale Price by Area (Asokoro Leads with ₦1,100.0M)</a:t>
          </a:fld>
          <a:endParaRPr lang="en-US" sz="1200" b="1">
            <a:solidFill>
              <a:schemeClr val="bg1"/>
            </a:solidFill>
          </a:endParaRPr>
        </a:p>
      </xdr:txBody>
    </xdr:sp>
    <xdr:clientData/>
  </xdr:twoCellAnchor>
  <xdr:twoCellAnchor>
    <xdr:from>
      <xdr:col>4</xdr:col>
      <xdr:colOff>441960</xdr:colOff>
      <xdr:row>0</xdr:row>
      <xdr:rowOff>137160</xdr:rowOff>
    </xdr:from>
    <xdr:to>
      <xdr:col>23</xdr:col>
      <xdr:colOff>19560</xdr:colOff>
      <xdr:row>5</xdr:row>
      <xdr:rowOff>122760</xdr:rowOff>
    </xdr:to>
    <xdr:sp macro="" textlink="">
      <xdr:nvSpPr>
        <xdr:cNvPr id="21" name="Rectangle: Rounded Corners 20">
          <a:extLst>
            <a:ext uri="{FF2B5EF4-FFF2-40B4-BE49-F238E27FC236}">
              <a16:creationId xmlns:a16="http://schemas.microsoft.com/office/drawing/2014/main" id="{D89698B6-C229-49EB-BA12-5CD71C4008AC}"/>
            </a:ext>
          </a:extLst>
        </xdr:cNvPr>
        <xdr:cNvSpPr/>
      </xdr:nvSpPr>
      <xdr:spPr>
        <a:xfrm>
          <a:off x="2880360" y="137160"/>
          <a:ext cx="11160000" cy="900000"/>
        </a:xfrm>
        <a:prstGeom prst="roundRect">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solidFill>
              <a:srgbClr val="FFC000"/>
            </a:solidFill>
          </a:endParaRPr>
        </a:p>
      </xdr:txBody>
    </xdr:sp>
    <xdr:clientData/>
  </xdr:twoCellAnchor>
  <xdr:twoCellAnchor>
    <xdr:from>
      <xdr:col>0</xdr:col>
      <xdr:colOff>419100</xdr:colOff>
      <xdr:row>36</xdr:row>
      <xdr:rowOff>68580</xdr:rowOff>
    </xdr:from>
    <xdr:to>
      <xdr:col>23</xdr:col>
      <xdr:colOff>76200</xdr:colOff>
      <xdr:row>39</xdr:row>
      <xdr:rowOff>95940</xdr:rowOff>
    </xdr:to>
    <xdr:sp macro="" textlink="">
      <xdr:nvSpPr>
        <xdr:cNvPr id="22" name="Rectangle: Rounded Corners 21">
          <a:extLst>
            <a:ext uri="{FF2B5EF4-FFF2-40B4-BE49-F238E27FC236}">
              <a16:creationId xmlns:a16="http://schemas.microsoft.com/office/drawing/2014/main" id="{1E97D972-4E34-464B-8AD2-586FFD94EA80}"/>
            </a:ext>
          </a:extLst>
        </xdr:cNvPr>
        <xdr:cNvSpPr/>
      </xdr:nvSpPr>
      <xdr:spPr>
        <a:xfrm>
          <a:off x="419100" y="6652260"/>
          <a:ext cx="13677900" cy="576000"/>
        </a:xfrm>
        <a:prstGeom prst="roundRect">
          <a:avLst/>
        </a:prstGeom>
        <a:solidFill>
          <a:schemeClr val="tx1">
            <a:alpha val="9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The ₦250M to below ₦750M price tier leads with 40.3% of sale listings (93 of 231), closely followed by the ₦50M to below ₦250M tier at 39.8% (92 listings). Together, these tiers account for 80.1% of listings, suggesting developers should assess buyer demand and affordability carefully when selecting target property price ranges.</a:t>
          </a:r>
        </a:p>
      </xdr:txBody>
    </xdr:sp>
    <xdr:clientData/>
  </xdr:twoCellAnchor>
  <xdr:twoCellAnchor>
    <xdr:from>
      <xdr:col>11</xdr:col>
      <xdr:colOff>160020</xdr:colOff>
      <xdr:row>6</xdr:row>
      <xdr:rowOff>7620</xdr:rowOff>
    </xdr:from>
    <xdr:to>
      <xdr:col>17</xdr:col>
      <xdr:colOff>210420</xdr:colOff>
      <xdr:row>22</xdr:row>
      <xdr:rowOff>177540</xdr:rowOff>
    </xdr:to>
    <xdr:sp macro="" textlink="">
      <xdr:nvSpPr>
        <xdr:cNvPr id="23" name="Rectangle: Rounded Corners 22">
          <a:extLst>
            <a:ext uri="{FF2B5EF4-FFF2-40B4-BE49-F238E27FC236}">
              <a16:creationId xmlns:a16="http://schemas.microsoft.com/office/drawing/2014/main" id="{23CA586B-1623-48DF-B8B8-976DE3AACADF}"/>
            </a:ext>
          </a:extLst>
        </xdr:cNvPr>
        <xdr:cNvSpPr/>
      </xdr:nvSpPr>
      <xdr:spPr>
        <a:xfrm>
          <a:off x="6865620" y="1104900"/>
          <a:ext cx="3708000" cy="3096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11</xdr:col>
      <xdr:colOff>160020</xdr:colOff>
      <xdr:row>23</xdr:row>
      <xdr:rowOff>76200</xdr:rowOff>
    </xdr:from>
    <xdr:to>
      <xdr:col>23</xdr:col>
      <xdr:colOff>22860</xdr:colOff>
      <xdr:row>36</xdr:row>
      <xdr:rowOff>2760</xdr:rowOff>
    </xdr:to>
    <xdr:sp macro="" textlink="">
      <xdr:nvSpPr>
        <xdr:cNvPr id="24" name="Rectangle: Rounded Corners 23">
          <a:extLst>
            <a:ext uri="{FF2B5EF4-FFF2-40B4-BE49-F238E27FC236}">
              <a16:creationId xmlns:a16="http://schemas.microsoft.com/office/drawing/2014/main" id="{8BDED6A5-50BA-4CEA-885D-AF6843B6730C}"/>
            </a:ext>
          </a:extLst>
        </xdr:cNvPr>
        <xdr:cNvSpPr/>
      </xdr:nvSpPr>
      <xdr:spPr>
        <a:xfrm>
          <a:off x="6865620" y="4282440"/>
          <a:ext cx="7178040" cy="2304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11</xdr:col>
      <xdr:colOff>114300</xdr:colOff>
      <xdr:row>22</xdr:row>
      <xdr:rowOff>175260</xdr:rowOff>
    </xdr:from>
    <xdr:to>
      <xdr:col>23</xdr:col>
      <xdr:colOff>53340</xdr:colOff>
      <xdr:row>25</xdr:row>
      <xdr:rowOff>137160</xdr:rowOff>
    </xdr:to>
    <xdr:sp macro="" textlink="'Pivot Table Sale'!$D$47:$E$47">
      <xdr:nvSpPr>
        <xdr:cNvPr id="26" name="Rectangle: Rounded Corners 25">
          <a:extLst>
            <a:ext uri="{FF2B5EF4-FFF2-40B4-BE49-F238E27FC236}">
              <a16:creationId xmlns:a16="http://schemas.microsoft.com/office/drawing/2014/main" id="{4CD83B32-00ED-4221-9651-7367EC6DC1BB}"/>
            </a:ext>
          </a:extLst>
        </xdr:cNvPr>
        <xdr:cNvSpPr/>
      </xdr:nvSpPr>
      <xdr:spPr>
        <a:xfrm>
          <a:off x="6819900" y="4198620"/>
          <a:ext cx="725424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01553F6-B602-43FF-91D0-AA3C12C487E7}" type="TxLink">
            <a:rPr lang="en-US" sz="1400" b="1" i="0" u="none" strike="noStrike">
              <a:solidFill>
                <a:schemeClr val="bg1"/>
              </a:solidFill>
              <a:latin typeface="Calibri"/>
              <a:cs typeface="Calibri"/>
            </a:rPr>
            <a:pPr algn="ctr"/>
            <a:t>Median Sale Price by Property Type (Mansion Leads with ₦4,000.0M)</a:t>
          </a:fld>
          <a:endParaRPr lang="en-US" sz="1400" b="1">
            <a:solidFill>
              <a:schemeClr val="bg1"/>
            </a:solidFill>
          </a:endParaRPr>
        </a:p>
      </xdr:txBody>
    </xdr:sp>
    <xdr:clientData/>
  </xdr:twoCellAnchor>
  <xdr:twoCellAnchor>
    <xdr:from>
      <xdr:col>11</xdr:col>
      <xdr:colOff>121920</xdr:colOff>
      <xdr:row>5</xdr:row>
      <xdr:rowOff>121920</xdr:rowOff>
    </xdr:from>
    <xdr:to>
      <xdr:col>17</xdr:col>
      <xdr:colOff>244320</xdr:colOff>
      <xdr:row>8</xdr:row>
      <xdr:rowOff>149280</xdr:rowOff>
    </xdr:to>
    <xdr:sp macro="" textlink="'Pivot Table Sale'!$A$47:$B$47">
      <xdr:nvSpPr>
        <xdr:cNvPr id="28" name="Rectangle: Rounded Corners 27">
          <a:extLst>
            <a:ext uri="{FF2B5EF4-FFF2-40B4-BE49-F238E27FC236}">
              <a16:creationId xmlns:a16="http://schemas.microsoft.com/office/drawing/2014/main" id="{72F4A77B-FB1E-446C-B57D-796D22E8789A}"/>
            </a:ext>
          </a:extLst>
        </xdr:cNvPr>
        <xdr:cNvSpPr/>
      </xdr:nvSpPr>
      <xdr:spPr>
        <a:xfrm>
          <a:off x="6827520" y="1036320"/>
          <a:ext cx="3780000" cy="576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B5406DD-D883-4694-AFE3-88DA692798BC}" type="TxLink">
            <a:rPr lang="en-US" sz="1100" b="1" i="0" u="none" strike="noStrike">
              <a:solidFill>
                <a:schemeClr val="bg1"/>
              </a:solidFill>
              <a:latin typeface="Calibri"/>
              <a:cs typeface="Calibri"/>
            </a:rPr>
            <a:pPr algn="ctr"/>
            <a:t>Median Sale Price by Bedroom Count (8 Bedroom Leads with ₦2,750.0M)</a:t>
          </a:fld>
          <a:endParaRPr lang="en-US" sz="1100" b="1">
            <a:solidFill>
              <a:schemeClr val="bg1"/>
            </a:solidFill>
          </a:endParaRPr>
        </a:p>
      </xdr:txBody>
    </xdr:sp>
    <xdr:clientData/>
  </xdr:twoCellAnchor>
  <xdr:twoCellAnchor>
    <xdr:from>
      <xdr:col>17</xdr:col>
      <xdr:colOff>297180</xdr:colOff>
      <xdr:row>6</xdr:row>
      <xdr:rowOff>7620</xdr:rowOff>
    </xdr:from>
    <xdr:to>
      <xdr:col>23</xdr:col>
      <xdr:colOff>23580</xdr:colOff>
      <xdr:row>22</xdr:row>
      <xdr:rowOff>177540</xdr:rowOff>
    </xdr:to>
    <xdr:sp macro="" textlink="">
      <xdr:nvSpPr>
        <xdr:cNvPr id="29" name="Rectangle: Rounded Corners 28">
          <a:extLst>
            <a:ext uri="{FF2B5EF4-FFF2-40B4-BE49-F238E27FC236}">
              <a16:creationId xmlns:a16="http://schemas.microsoft.com/office/drawing/2014/main" id="{FC70AB17-2218-4CF4-AEF0-3042617BEC20}"/>
            </a:ext>
          </a:extLst>
        </xdr:cNvPr>
        <xdr:cNvSpPr/>
      </xdr:nvSpPr>
      <xdr:spPr>
        <a:xfrm>
          <a:off x="10660380" y="1104900"/>
          <a:ext cx="3384000" cy="3096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17</xdr:col>
      <xdr:colOff>281940</xdr:colOff>
      <xdr:row>5</xdr:row>
      <xdr:rowOff>114300</xdr:rowOff>
    </xdr:from>
    <xdr:to>
      <xdr:col>23</xdr:col>
      <xdr:colOff>44340</xdr:colOff>
      <xdr:row>9</xdr:row>
      <xdr:rowOff>30780</xdr:rowOff>
    </xdr:to>
    <xdr:sp macro="" textlink="'Pivot Table Sale'!$D$3:$E$3">
      <xdr:nvSpPr>
        <xdr:cNvPr id="31" name="Rectangle: Rounded Corners 30">
          <a:extLst>
            <a:ext uri="{FF2B5EF4-FFF2-40B4-BE49-F238E27FC236}">
              <a16:creationId xmlns:a16="http://schemas.microsoft.com/office/drawing/2014/main" id="{C1537FB7-0B4A-48C3-AA00-C43A2D9000DF}"/>
            </a:ext>
          </a:extLst>
        </xdr:cNvPr>
        <xdr:cNvSpPr/>
      </xdr:nvSpPr>
      <xdr:spPr>
        <a:xfrm>
          <a:off x="10645140" y="1028700"/>
          <a:ext cx="3420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3043EF8-3F99-43D6-8782-F0445AED53C6}" type="TxLink">
            <a:rPr lang="en-US" sz="1200" b="1" i="0" u="none" strike="noStrike">
              <a:solidFill>
                <a:schemeClr val="bg1"/>
              </a:solidFill>
              <a:latin typeface="Calibri"/>
              <a:cs typeface="Calibri"/>
            </a:rPr>
            <a:pPr algn="ctr"/>
            <a:t>Sale Listing Count by Price Tier (₦250M to below ₦750M Leads with 93 Listings)</a:t>
          </a:fld>
          <a:endParaRPr lang="en-US" sz="1400" b="1">
            <a:solidFill>
              <a:schemeClr val="bg1"/>
            </a:solidFill>
          </a:endParaRPr>
        </a:p>
      </xdr:txBody>
    </xdr:sp>
    <xdr:clientData/>
  </xdr:twoCellAnchor>
  <xdr:twoCellAnchor>
    <xdr:from>
      <xdr:col>4</xdr:col>
      <xdr:colOff>274320</xdr:colOff>
      <xdr:row>8</xdr:row>
      <xdr:rowOff>91440</xdr:rowOff>
    </xdr:from>
    <xdr:to>
      <xdr:col>11</xdr:col>
      <xdr:colOff>83820</xdr:colOff>
      <xdr:row>35</xdr:row>
      <xdr:rowOff>121680</xdr:rowOff>
    </xdr:to>
    <xdr:graphicFrame macro="">
      <xdr:nvGraphicFramePr>
        <xdr:cNvPr id="34" name="Chart 33">
          <a:extLst>
            <a:ext uri="{FF2B5EF4-FFF2-40B4-BE49-F238E27FC236}">
              <a16:creationId xmlns:a16="http://schemas.microsoft.com/office/drawing/2014/main" id="{40F7BD87-67D9-4BE1-8DB6-F7CF590B11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190500</xdr:colOff>
      <xdr:row>8</xdr:row>
      <xdr:rowOff>152400</xdr:rowOff>
    </xdr:from>
    <xdr:to>
      <xdr:col>17</xdr:col>
      <xdr:colOff>132900</xdr:colOff>
      <xdr:row>23</xdr:row>
      <xdr:rowOff>1200</xdr:rowOff>
    </xdr:to>
    <xdr:graphicFrame macro="">
      <xdr:nvGraphicFramePr>
        <xdr:cNvPr id="35" name="Chart 34">
          <a:extLst>
            <a:ext uri="{FF2B5EF4-FFF2-40B4-BE49-F238E27FC236}">
              <a16:creationId xmlns:a16="http://schemas.microsoft.com/office/drawing/2014/main" id="{BF8B8A7D-C14B-4A68-A15C-65BC1C614D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152400</xdr:colOff>
      <xdr:row>25</xdr:row>
      <xdr:rowOff>137160</xdr:rowOff>
    </xdr:from>
    <xdr:to>
      <xdr:col>23</xdr:col>
      <xdr:colOff>1200</xdr:colOff>
      <xdr:row>35</xdr:row>
      <xdr:rowOff>180360</xdr:rowOff>
    </xdr:to>
    <xdr:graphicFrame macro="">
      <xdr:nvGraphicFramePr>
        <xdr:cNvPr id="36" name="Chart 35">
          <a:extLst>
            <a:ext uri="{FF2B5EF4-FFF2-40B4-BE49-F238E27FC236}">
              <a16:creationId xmlns:a16="http://schemas.microsoft.com/office/drawing/2014/main" id="{CAA98419-6C68-4AE7-8FC1-5735252F70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327660</xdr:colOff>
      <xdr:row>8</xdr:row>
      <xdr:rowOff>114300</xdr:rowOff>
    </xdr:from>
    <xdr:to>
      <xdr:col>22</xdr:col>
      <xdr:colOff>591660</xdr:colOff>
      <xdr:row>22</xdr:row>
      <xdr:rowOff>145980</xdr:rowOff>
    </xdr:to>
    <xdr:graphicFrame macro="">
      <xdr:nvGraphicFramePr>
        <xdr:cNvPr id="37" name="Chart 36">
          <a:extLst>
            <a:ext uri="{FF2B5EF4-FFF2-40B4-BE49-F238E27FC236}">
              <a16:creationId xmlns:a16="http://schemas.microsoft.com/office/drawing/2014/main" id="{73436212-2EF3-4541-9A83-1B8009FB32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xdr:col>
      <xdr:colOff>548640</xdr:colOff>
      <xdr:row>1</xdr:row>
      <xdr:rowOff>53340</xdr:rowOff>
    </xdr:from>
    <xdr:to>
      <xdr:col>18</xdr:col>
      <xdr:colOff>150240</xdr:colOff>
      <xdr:row>5</xdr:row>
      <xdr:rowOff>5820</xdr:rowOff>
    </xdr:to>
    <mc:AlternateContent xmlns:mc="http://schemas.openxmlformats.org/markup-compatibility/2006" xmlns:a14="http://schemas.microsoft.com/office/drawing/2010/main">
      <mc:Choice Requires="a14">
        <xdr:graphicFrame macro="">
          <xdr:nvGraphicFramePr>
            <xdr:cNvPr id="38" name="area 4">
              <a:extLst>
                <a:ext uri="{FF2B5EF4-FFF2-40B4-BE49-F238E27FC236}">
                  <a16:creationId xmlns:a16="http://schemas.microsoft.com/office/drawing/2014/main" id="{E3F4AE3B-E362-4AE0-89E6-83C86CF7FBC6}"/>
                </a:ext>
              </a:extLst>
            </xdr:cNvPr>
            <xdr:cNvGraphicFramePr/>
          </xdr:nvGraphicFramePr>
          <xdr:xfrm>
            <a:off x="0" y="0"/>
            <a:ext cx="0" cy="0"/>
          </xdr:xfrm>
          <a:graphic>
            <a:graphicData uri="http://schemas.microsoft.com/office/drawing/2010/slicer">
              <sle:slicer xmlns:sle="http://schemas.microsoft.com/office/drawing/2010/slicer" name="area 4"/>
            </a:graphicData>
          </a:graphic>
        </xdr:graphicFrame>
      </mc:Choice>
      <mc:Fallback xmlns="">
        <xdr:sp macro="" textlink="">
          <xdr:nvSpPr>
            <xdr:cNvPr id="0" name=""/>
            <xdr:cNvSpPr>
              <a:spLocks noTextEdit="1"/>
            </xdr:cNvSpPr>
          </xdr:nvSpPr>
          <xdr:spPr>
            <a:xfrm>
              <a:off x="2987040" y="236220"/>
              <a:ext cx="8136000" cy="68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586740</xdr:colOff>
      <xdr:row>1</xdr:row>
      <xdr:rowOff>0</xdr:rowOff>
    </xdr:from>
    <xdr:to>
      <xdr:col>22</xdr:col>
      <xdr:colOff>344340</xdr:colOff>
      <xdr:row>5</xdr:row>
      <xdr:rowOff>60480</xdr:rowOff>
    </xdr:to>
    <mc:AlternateContent xmlns:mc="http://schemas.openxmlformats.org/markup-compatibility/2006" xmlns:a14="http://schemas.microsoft.com/office/drawing/2010/main">
      <mc:Choice Requires="a14">
        <xdr:graphicFrame macro="">
          <xdr:nvGraphicFramePr>
            <xdr:cNvPr id="39" name="Price Tier 4">
              <a:extLst>
                <a:ext uri="{FF2B5EF4-FFF2-40B4-BE49-F238E27FC236}">
                  <a16:creationId xmlns:a16="http://schemas.microsoft.com/office/drawing/2014/main" id="{AF710D61-6E17-48C2-B4A4-877B3E08FC36}"/>
                </a:ext>
              </a:extLst>
            </xdr:cNvPr>
            <xdr:cNvGraphicFramePr/>
          </xdr:nvGraphicFramePr>
          <xdr:xfrm>
            <a:off x="0" y="0"/>
            <a:ext cx="0" cy="0"/>
          </xdr:xfrm>
          <a:graphic>
            <a:graphicData uri="http://schemas.microsoft.com/office/drawing/2010/slicer">
              <sle:slicer xmlns:sle="http://schemas.microsoft.com/office/drawing/2010/slicer" name="Price Tier 4"/>
            </a:graphicData>
          </a:graphic>
        </xdr:graphicFrame>
      </mc:Choice>
      <mc:Fallback xmlns="">
        <xdr:sp macro="" textlink="">
          <xdr:nvSpPr>
            <xdr:cNvPr id="0" name=""/>
            <xdr:cNvSpPr>
              <a:spLocks noTextEdit="1"/>
            </xdr:cNvSpPr>
          </xdr:nvSpPr>
          <xdr:spPr>
            <a:xfrm>
              <a:off x="11559540" y="182880"/>
              <a:ext cx="2196000" cy="79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396240</xdr:colOff>
      <xdr:row>31</xdr:row>
      <xdr:rowOff>175260</xdr:rowOff>
    </xdr:from>
    <xdr:to>
      <xdr:col>1</xdr:col>
      <xdr:colOff>362640</xdr:colOff>
      <xdr:row>35</xdr:row>
      <xdr:rowOff>91740</xdr:rowOff>
    </xdr:to>
    <xdr:sp macro="[0]!SaleDashboard1LPBotton_Click" textlink="">
      <xdr:nvSpPr>
        <xdr:cNvPr id="40" name="Sale Dashboard 1 LP Botton">
          <a:extLst>
            <a:ext uri="{FF2B5EF4-FFF2-40B4-BE49-F238E27FC236}">
              <a16:creationId xmlns:a16="http://schemas.microsoft.com/office/drawing/2014/main" id="{0C64D387-4D00-436D-9A16-87D9F413E16F}"/>
            </a:ext>
          </a:extLst>
        </xdr:cNvPr>
        <xdr:cNvSpPr/>
      </xdr:nvSpPr>
      <xdr:spPr>
        <a:xfrm>
          <a:off x="396240" y="584454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LP</a:t>
          </a:r>
        </a:p>
      </xdr:txBody>
    </xdr:sp>
    <xdr:clientData/>
  </xdr:twoCellAnchor>
  <xdr:twoCellAnchor>
    <xdr:from>
      <xdr:col>1</xdr:col>
      <xdr:colOff>373380</xdr:colOff>
      <xdr:row>31</xdr:row>
      <xdr:rowOff>175260</xdr:rowOff>
    </xdr:from>
    <xdr:to>
      <xdr:col>2</xdr:col>
      <xdr:colOff>339780</xdr:colOff>
      <xdr:row>35</xdr:row>
      <xdr:rowOff>91740</xdr:rowOff>
    </xdr:to>
    <xdr:sp macro="[0]!SaleDashboard1RD1Botton_Click" textlink="">
      <xdr:nvSpPr>
        <xdr:cNvPr id="41" name="Sale Dashboard 1 RD1 Botton">
          <a:extLst>
            <a:ext uri="{FF2B5EF4-FFF2-40B4-BE49-F238E27FC236}">
              <a16:creationId xmlns:a16="http://schemas.microsoft.com/office/drawing/2014/main" id="{59ABC17B-27E3-44FB-B439-86EB141EED48}"/>
            </a:ext>
          </a:extLst>
        </xdr:cNvPr>
        <xdr:cNvSpPr/>
      </xdr:nvSpPr>
      <xdr:spPr>
        <a:xfrm>
          <a:off x="982980" y="584454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RD1</a:t>
          </a:r>
        </a:p>
      </xdr:txBody>
    </xdr:sp>
    <xdr:clientData/>
  </xdr:twoCellAnchor>
  <xdr:twoCellAnchor>
    <xdr:from>
      <xdr:col>2</xdr:col>
      <xdr:colOff>358140</xdr:colOff>
      <xdr:row>31</xdr:row>
      <xdr:rowOff>175260</xdr:rowOff>
    </xdr:from>
    <xdr:to>
      <xdr:col>3</xdr:col>
      <xdr:colOff>324540</xdr:colOff>
      <xdr:row>35</xdr:row>
      <xdr:rowOff>91740</xdr:rowOff>
    </xdr:to>
    <xdr:sp macro="[0]!SaleDashboard1RD2Botton_Click" textlink="">
      <xdr:nvSpPr>
        <xdr:cNvPr id="42" name="Sale Dashboard 1 RD2 Botton">
          <a:extLst>
            <a:ext uri="{FF2B5EF4-FFF2-40B4-BE49-F238E27FC236}">
              <a16:creationId xmlns:a16="http://schemas.microsoft.com/office/drawing/2014/main" id="{9EB46251-7477-4B00-A9D2-D8B364323D37}"/>
            </a:ext>
          </a:extLst>
        </xdr:cNvPr>
        <xdr:cNvSpPr/>
      </xdr:nvSpPr>
      <xdr:spPr>
        <a:xfrm>
          <a:off x="1577340" y="584454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RD2</a:t>
          </a:r>
        </a:p>
      </xdr:txBody>
    </xdr:sp>
    <xdr:clientData/>
  </xdr:twoCellAnchor>
  <xdr:twoCellAnchor>
    <xdr:from>
      <xdr:col>3</xdr:col>
      <xdr:colOff>327660</xdr:colOff>
      <xdr:row>31</xdr:row>
      <xdr:rowOff>175260</xdr:rowOff>
    </xdr:from>
    <xdr:to>
      <xdr:col>4</xdr:col>
      <xdr:colOff>294060</xdr:colOff>
      <xdr:row>35</xdr:row>
      <xdr:rowOff>91740</xdr:rowOff>
    </xdr:to>
    <xdr:sp macro="[0]!SaleDashboard1SD2Botton_Click" textlink="">
      <xdr:nvSpPr>
        <xdr:cNvPr id="43" name="Sale Dashboard 1 SD2 Botton">
          <a:extLst>
            <a:ext uri="{FF2B5EF4-FFF2-40B4-BE49-F238E27FC236}">
              <a16:creationId xmlns:a16="http://schemas.microsoft.com/office/drawing/2014/main" id="{92778223-F49B-4813-90BA-1D3A0B08B7E7}"/>
            </a:ext>
          </a:extLst>
        </xdr:cNvPr>
        <xdr:cNvSpPr/>
      </xdr:nvSpPr>
      <xdr:spPr>
        <a:xfrm>
          <a:off x="2156460" y="584454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SD2</a:t>
          </a:r>
        </a:p>
      </xdr:txBody>
    </xdr:sp>
    <xdr:clientData/>
  </xdr:twoCellAnchor>
  <xdr:twoCellAnchor>
    <xdr:from>
      <xdr:col>1</xdr:col>
      <xdr:colOff>342900</xdr:colOff>
      <xdr:row>32</xdr:row>
      <xdr:rowOff>99060</xdr:rowOff>
    </xdr:from>
    <xdr:to>
      <xdr:col>1</xdr:col>
      <xdr:colOff>342900</xdr:colOff>
      <xdr:row>34</xdr:row>
      <xdr:rowOff>165300</xdr:rowOff>
    </xdr:to>
    <xdr:cxnSp macro="">
      <xdr:nvCxnSpPr>
        <xdr:cNvPr id="44" name="Straight Connector 43">
          <a:extLst>
            <a:ext uri="{FF2B5EF4-FFF2-40B4-BE49-F238E27FC236}">
              <a16:creationId xmlns:a16="http://schemas.microsoft.com/office/drawing/2014/main" id="{285B3F91-33A4-4D20-B432-5F78FE093231}"/>
            </a:ext>
          </a:extLst>
        </xdr:cNvPr>
        <xdr:cNvCxnSpPr/>
      </xdr:nvCxnSpPr>
      <xdr:spPr>
        <a:xfrm>
          <a:off x="952500" y="595122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twoCellAnchor>
    <xdr:from>
      <xdr:col>2</xdr:col>
      <xdr:colOff>342900</xdr:colOff>
      <xdr:row>32</xdr:row>
      <xdr:rowOff>99060</xdr:rowOff>
    </xdr:from>
    <xdr:to>
      <xdr:col>2</xdr:col>
      <xdr:colOff>342900</xdr:colOff>
      <xdr:row>34</xdr:row>
      <xdr:rowOff>165300</xdr:rowOff>
    </xdr:to>
    <xdr:cxnSp macro="">
      <xdr:nvCxnSpPr>
        <xdr:cNvPr id="45" name="Straight Connector 44">
          <a:extLst>
            <a:ext uri="{FF2B5EF4-FFF2-40B4-BE49-F238E27FC236}">
              <a16:creationId xmlns:a16="http://schemas.microsoft.com/office/drawing/2014/main" id="{313927F9-D7F7-4AD8-95B4-15D68CDEB628}"/>
            </a:ext>
          </a:extLst>
        </xdr:cNvPr>
        <xdr:cNvCxnSpPr/>
      </xdr:nvCxnSpPr>
      <xdr:spPr>
        <a:xfrm>
          <a:off x="1562100" y="595122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twoCellAnchor>
    <xdr:from>
      <xdr:col>3</xdr:col>
      <xdr:colOff>304800</xdr:colOff>
      <xdr:row>32</xdr:row>
      <xdr:rowOff>99060</xdr:rowOff>
    </xdr:from>
    <xdr:to>
      <xdr:col>3</xdr:col>
      <xdr:colOff>304800</xdr:colOff>
      <xdr:row>34</xdr:row>
      <xdr:rowOff>165300</xdr:rowOff>
    </xdr:to>
    <xdr:cxnSp macro="">
      <xdr:nvCxnSpPr>
        <xdr:cNvPr id="46" name="Straight Connector 45">
          <a:extLst>
            <a:ext uri="{FF2B5EF4-FFF2-40B4-BE49-F238E27FC236}">
              <a16:creationId xmlns:a16="http://schemas.microsoft.com/office/drawing/2014/main" id="{509084F8-4B25-44C3-BB04-49F8B794552D}"/>
            </a:ext>
          </a:extLst>
        </xdr:cNvPr>
        <xdr:cNvCxnSpPr/>
      </xdr:nvCxnSpPr>
      <xdr:spPr>
        <a:xfrm>
          <a:off x="2133600" y="595122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23</xdr:col>
      <xdr:colOff>586740</xdr:colOff>
      <xdr:row>44</xdr:row>
      <xdr:rowOff>152400</xdr:rowOff>
    </xdr:to>
    <xdr:pic>
      <xdr:nvPicPr>
        <xdr:cNvPr id="2" name="Picture 1">
          <a:extLst>
            <a:ext uri="{FF2B5EF4-FFF2-40B4-BE49-F238E27FC236}">
              <a16:creationId xmlns:a16="http://schemas.microsoft.com/office/drawing/2014/main" id="{DB5020B2-DAAD-4D5B-9BF9-9798A1669C9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120" b="34619"/>
        <a:stretch>
          <a:fillRect/>
        </a:stretch>
      </xdr:blipFill>
      <xdr:spPr>
        <a:xfrm>
          <a:off x="0" y="0"/>
          <a:ext cx="14607540" cy="8199120"/>
        </a:xfrm>
        <a:prstGeom prst="rect">
          <a:avLst/>
        </a:prstGeom>
      </xdr:spPr>
    </xdr:pic>
    <xdr:clientData/>
  </xdr:twoCellAnchor>
  <xdr:twoCellAnchor>
    <xdr:from>
      <xdr:col>0</xdr:col>
      <xdr:colOff>320040</xdr:colOff>
      <xdr:row>1</xdr:row>
      <xdr:rowOff>167640</xdr:rowOff>
    </xdr:from>
    <xdr:to>
      <xdr:col>4</xdr:col>
      <xdr:colOff>350520</xdr:colOff>
      <xdr:row>4</xdr:row>
      <xdr:rowOff>129540</xdr:rowOff>
    </xdr:to>
    <xdr:sp macro="" textlink="">
      <xdr:nvSpPr>
        <xdr:cNvPr id="3" name="Rectangle: Rounded Corners 2">
          <a:extLst>
            <a:ext uri="{FF2B5EF4-FFF2-40B4-BE49-F238E27FC236}">
              <a16:creationId xmlns:a16="http://schemas.microsoft.com/office/drawing/2014/main" id="{4E62B9D7-E63C-482B-8A60-FF85B5771A5F}"/>
            </a:ext>
          </a:extLst>
        </xdr:cNvPr>
        <xdr:cNvSpPr/>
      </xdr:nvSpPr>
      <xdr:spPr>
        <a:xfrm>
          <a:off x="320040" y="350520"/>
          <a:ext cx="2468880" cy="510540"/>
        </a:xfrm>
        <a:prstGeom prst="roundRect">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rgbClr val="FFC000"/>
              </a:solidFill>
            </a:rPr>
            <a:t>Sale Dashboard</a:t>
          </a:r>
          <a:r>
            <a:rPr lang="en-US" sz="2000" b="1" baseline="0">
              <a:solidFill>
                <a:srgbClr val="FFC000"/>
              </a:solidFill>
            </a:rPr>
            <a:t> 2</a:t>
          </a:r>
          <a:endParaRPr lang="en-US" sz="1100" b="1">
            <a:solidFill>
              <a:srgbClr val="FFC000"/>
            </a:solidFill>
          </a:endParaRPr>
        </a:p>
      </xdr:txBody>
    </xdr:sp>
    <xdr:clientData/>
  </xdr:twoCellAnchor>
  <xdr:twoCellAnchor>
    <xdr:from>
      <xdr:col>0</xdr:col>
      <xdr:colOff>441960</xdr:colOff>
      <xdr:row>6</xdr:row>
      <xdr:rowOff>22860</xdr:rowOff>
    </xdr:from>
    <xdr:to>
      <xdr:col>4</xdr:col>
      <xdr:colOff>235560</xdr:colOff>
      <xdr:row>31</xdr:row>
      <xdr:rowOff>30480</xdr:rowOff>
    </xdr:to>
    <xdr:sp macro="" textlink="">
      <xdr:nvSpPr>
        <xdr:cNvPr id="4" name="Rectangle: Rounded Corners 3">
          <a:extLst>
            <a:ext uri="{FF2B5EF4-FFF2-40B4-BE49-F238E27FC236}">
              <a16:creationId xmlns:a16="http://schemas.microsoft.com/office/drawing/2014/main" id="{F222CE16-F3B5-44D8-8B9F-006842A5BE93}"/>
            </a:ext>
          </a:extLst>
        </xdr:cNvPr>
        <xdr:cNvSpPr/>
      </xdr:nvSpPr>
      <xdr:spPr>
        <a:xfrm>
          <a:off x="441960" y="1120140"/>
          <a:ext cx="2232000" cy="4579620"/>
        </a:xfrm>
        <a:prstGeom prst="roundRect">
          <a:avLst>
            <a:gd name="adj" fmla="val 8951"/>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0</xdr:col>
      <xdr:colOff>441960</xdr:colOff>
      <xdr:row>5</xdr:row>
      <xdr:rowOff>137160</xdr:rowOff>
    </xdr:from>
    <xdr:to>
      <xdr:col>4</xdr:col>
      <xdr:colOff>235560</xdr:colOff>
      <xdr:row>8</xdr:row>
      <xdr:rowOff>99060</xdr:rowOff>
    </xdr:to>
    <xdr:sp macro="" textlink="">
      <xdr:nvSpPr>
        <xdr:cNvPr id="5" name="Rectangle: Rounded Corners 4">
          <a:extLst>
            <a:ext uri="{FF2B5EF4-FFF2-40B4-BE49-F238E27FC236}">
              <a16:creationId xmlns:a16="http://schemas.microsoft.com/office/drawing/2014/main" id="{AAA16CEC-F1D8-48BE-88FD-82CA6CF73D15}"/>
            </a:ext>
          </a:extLst>
        </xdr:cNvPr>
        <xdr:cNvSpPr/>
      </xdr:nvSpPr>
      <xdr:spPr>
        <a:xfrm>
          <a:off x="441960" y="105156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 Sale</a:t>
          </a:r>
          <a:r>
            <a:rPr lang="en-US" sz="1400" b="1" baseline="0"/>
            <a:t> Listings</a:t>
          </a:r>
          <a:endParaRPr lang="en-US" sz="1100" b="1"/>
        </a:p>
      </xdr:txBody>
    </xdr:sp>
    <xdr:clientData/>
  </xdr:twoCellAnchor>
  <xdr:twoCellAnchor>
    <xdr:from>
      <xdr:col>0</xdr:col>
      <xdr:colOff>441960</xdr:colOff>
      <xdr:row>8</xdr:row>
      <xdr:rowOff>0</xdr:rowOff>
    </xdr:from>
    <xdr:to>
      <xdr:col>4</xdr:col>
      <xdr:colOff>235560</xdr:colOff>
      <xdr:row>10</xdr:row>
      <xdr:rowOff>144780</xdr:rowOff>
    </xdr:to>
    <xdr:sp macro="" textlink="'Pivot Table Sale'!$O$2">
      <xdr:nvSpPr>
        <xdr:cNvPr id="6" name="Rectangle: Rounded Corners 5">
          <a:extLst>
            <a:ext uri="{FF2B5EF4-FFF2-40B4-BE49-F238E27FC236}">
              <a16:creationId xmlns:a16="http://schemas.microsoft.com/office/drawing/2014/main" id="{2EB748F6-111F-4A08-BDDE-67532D83B7DA}"/>
            </a:ext>
          </a:extLst>
        </xdr:cNvPr>
        <xdr:cNvSpPr/>
      </xdr:nvSpPr>
      <xdr:spPr>
        <a:xfrm>
          <a:off x="441960" y="146304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2C8AB5-28D3-4CEF-9EB5-B83DC587EE63}" type="TxLink">
            <a:rPr lang="en-US" sz="3600" b="1" i="0" u="none" strike="noStrike">
              <a:solidFill>
                <a:schemeClr val="bg1"/>
              </a:solidFill>
              <a:latin typeface="Calibri"/>
              <a:cs typeface="Calibri"/>
            </a:rPr>
            <a:pPr algn="ctr"/>
            <a:t>231</a:t>
          </a:fld>
          <a:endParaRPr lang="en-US" sz="41300" b="1">
            <a:solidFill>
              <a:schemeClr val="bg1"/>
            </a:solidFill>
          </a:endParaRPr>
        </a:p>
      </xdr:txBody>
    </xdr:sp>
    <xdr:clientData/>
  </xdr:twoCellAnchor>
  <xdr:twoCellAnchor>
    <xdr:from>
      <xdr:col>0</xdr:col>
      <xdr:colOff>441960</xdr:colOff>
      <xdr:row>11</xdr:row>
      <xdr:rowOff>160020</xdr:rowOff>
    </xdr:from>
    <xdr:to>
      <xdr:col>4</xdr:col>
      <xdr:colOff>235560</xdr:colOff>
      <xdr:row>14</xdr:row>
      <xdr:rowOff>121920</xdr:rowOff>
    </xdr:to>
    <xdr:sp macro="" textlink="">
      <xdr:nvSpPr>
        <xdr:cNvPr id="7" name="Rectangle: Rounded Corners 6">
          <a:extLst>
            <a:ext uri="{FF2B5EF4-FFF2-40B4-BE49-F238E27FC236}">
              <a16:creationId xmlns:a16="http://schemas.microsoft.com/office/drawing/2014/main" id="{7BC1D5E5-E9D9-4002-827A-BB98FF0111EC}"/>
            </a:ext>
          </a:extLst>
        </xdr:cNvPr>
        <xdr:cNvSpPr/>
      </xdr:nvSpPr>
      <xdr:spPr>
        <a:xfrm>
          <a:off x="441960" y="217170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Median</a:t>
          </a:r>
          <a:r>
            <a:rPr lang="en-US" sz="1400" b="1" baseline="0"/>
            <a:t> Sale Asking Price</a:t>
          </a:r>
          <a:endParaRPr lang="en-US" sz="1400" b="1"/>
        </a:p>
      </xdr:txBody>
    </xdr:sp>
    <xdr:clientData/>
  </xdr:twoCellAnchor>
  <xdr:twoCellAnchor>
    <xdr:from>
      <xdr:col>0</xdr:col>
      <xdr:colOff>441960</xdr:colOff>
      <xdr:row>14</xdr:row>
      <xdr:rowOff>22860</xdr:rowOff>
    </xdr:from>
    <xdr:to>
      <xdr:col>4</xdr:col>
      <xdr:colOff>235560</xdr:colOff>
      <xdr:row>16</xdr:row>
      <xdr:rowOff>167640</xdr:rowOff>
    </xdr:to>
    <xdr:sp macro="" textlink="'Pivot Table Sale'!$O$3">
      <xdr:nvSpPr>
        <xdr:cNvPr id="8" name="Rectangle: Rounded Corners 7">
          <a:extLst>
            <a:ext uri="{FF2B5EF4-FFF2-40B4-BE49-F238E27FC236}">
              <a16:creationId xmlns:a16="http://schemas.microsoft.com/office/drawing/2014/main" id="{E98B8893-4C73-4B79-84A4-F1DDB109C24D}"/>
            </a:ext>
          </a:extLst>
        </xdr:cNvPr>
        <xdr:cNvSpPr/>
      </xdr:nvSpPr>
      <xdr:spPr>
        <a:xfrm>
          <a:off x="441960" y="258318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8D8538C-C79C-410F-9CC2-6EC67BB9AD98}" type="TxLink">
            <a:rPr lang="en-US" sz="3200" b="1" i="0" u="none" strike="noStrike">
              <a:solidFill>
                <a:schemeClr val="bg1"/>
              </a:solidFill>
              <a:latin typeface="Calibri"/>
              <a:cs typeface="Calibri"/>
            </a:rPr>
            <a:pPr algn="ctr"/>
            <a:t>₦260.0M</a:t>
          </a:fld>
          <a:endParaRPr lang="en-US" sz="8000" b="1">
            <a:solidFill>
              <a:schemeClr val="bg1"/>
            </a:solidFill>
          </a:endParaRPr>
        </a:p>
      </xdr:txBody>
    </xdr:sp>
    <xdr:clientData/>
  </xdr:twoCellAnchor>
  <xdr:twoCellAnchor>
    <xdr:from>
      <xdr:col>0</xdr:col>
      <xdr:colOff>373380</xdr:colOff>
      <xdr:row>17</xdr:row>
      <xdr:rowOff>175260</xdr:rowOff>
    </xdr:from>
    <xdr:to>
      <xdr:col>4</xdr:col>
      <xdr:colOff>310980</xdr:colOff>
      <xdr:row>20</xdr:row>
      <xdr:rowOff>137160</xdr:rowOff>
    </xdr:to>
    <xdr:sp macro="" textlink="">
      <xdr:nvSpPr>
        <xdr:cNvPr id="9" name="Rectangle: Rounded Corners 8">
          <a:extLst>
            <a:ext uri="{FF2B5EF4-FFF2-40B4-BE49-F238E27FC236}">
              <a16:creationId xmlns:a16="http://schemas.microsoft.com/office/drawing/2014/main" id="{59A801BC-3D51-4163-A11C-0D37AECF7E8D}"/>
            </a:ext>
          </a:extLst>
        </xdr:cNvPr>
        <xdr:cNvSpPr/>
      </xdr:nvSpPr>
      <xdr:spPr>
        <a:xfrm>
          <a:off x="373380" y="3284220"/>
          <a:ext cx="2376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Minimum</a:t>
          </a:r>
          <a:r>
            <a:rPr lang="en-US" sz="1600" b="1" baseline="0"/>
            <a:t> </a:t>
          </a:r>
          <a:r>
            <a:rPr lang="en-US" sz="1400" b="1" baseline="0">
              <a:solidFill>
                <a:schemeClr val="lt1"/>
              </a:solidFill>
              <a:effectLst/>
              <a:latin typeface="+mn-lt"/>
              <a:ea typeface="+mn-ea"/>
              <a:cs typeface="+mn-cs"/>
            </a:rPr>
            <a:t>Sale Asking Price</a:t>
          </a:r>
          <a:endParaRPr lang="en-US" sz="1600" b="1"/>
        </a:p>
      </xdr:txBody>
    </xdr:sp>
    <xdr:clientData/>
  </xdr:twoCellAnchor>
  <xdr:twoCellAnchor>
    <xdr:from>
      <xdr:col>0</xdr:col>
      <xdr:colOff>441960</xdr:colOff>
      <xdr:row>20</xdr:row>
      <xdr:rowOff>38100</xdr:rowOff>
    </xdr:from>
    <xdr:to>
      <xdr:col>4</xdr:col>
      <xdr:colOff>235560</xdr:colOff>
      <xdr:row>23</xdr:row>
      <xdr:rowOff>0</xdr:rowOff>
    </xdr:to>
    <xdr:sp macro="" textlink="'Pivot Table Sale'!$O$4">
      <xdr:nvSpPr>
        <xdr:cNvPr id="10" name="Rectangle: Rounded Corners 9">
          <a:extLst>
            <a:ext uri="{FF2B5EF4-FFF2-40B4-BE49-F238E27FC236}">
              <a16:creationId xmlns:a16="http://schemas.microsoft.com/office/drawing/2014/main" id="{A02797AC-734C-4479-B05D-0E000BC2B4EF}"/>
            </a:ext>
          </a:extLst>
        </xdr:cNvPr>
        <xdr:cNvSpPr/>
      </xdr:nvSpPr>
      <xdr:spPr>
        <a:xfrm>
          <a:off x="441960" y="369570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7EB1096-759E-4BCD-8314-6058F36853FE}" type="TxLink">
            <a:rPr lang="en-US" sz="3200" b="1" i="0" u="none" strike="noStrike">
              <a:solidFill>
                <a:schemeClr val="bg1"/>
              </a:solidFill>
              <a:latin typeface="Calibri"/>
              <a:cs typeface="Calibri"/>
            </a:rPr>
            <a:pPr algn="ctr"/>
            <a:t>₦36.5M</a:t>
          </a:fld>
          <a:endParaRPr lang="en-US" sz="8000" b="1">
            <a:solidFill>
              <a:schemeClr val="bg1"/>
            </a:solidFill>
          </a:endParaRPr>
        </a:p>
      </xdr:txBody>
    </xdr:sp>
    <xdr:clientData/>
  </xdr:twoCellAnchor>
  <xdr:twoCellAnchor>
    <xdr:from>
      <xdr:col>0</xdr:col>
      <xdr:colOff>403860</xdr:colOff>
      <xdr:row>23</xdr:row>
      <xdr:rowOff>167640</xdr:rowOff>
    </xdr:from>
    <xdr:to>
      <xdr:col>4</xdr:col>
      <xdr:colOff>269460</xdr:colOff>
      <xdr:row>26</xdr:row>
      <xdr:rowOff>129540</xdr:rowOff>
    </xdr:to>
    <xdr:sp macro="" textlink="">
      <xdr:nvSpPr>
        <xdr:cNvPr id="11" name="Rectangle: Rounded Corners 10">
          <a:extLst>
            <a:ext uri="{FF2B5EF4-FFF2-40B4-BE49-F238E27FC236}">
              <a16:creationId xmlns:a16="http://schemas.microsoft.com/office/drawing/2014/main" id="{33DF4595-1EE9-403E-8351-3F964AD42C05}"/>
            </a:ext>
          </a:extLst>
        </xdr:cNvPr>
        <xdr:cNvSpPr/>
      </xdr:nvSpPr>
      <xdr:spPr>
        <a:xfrm>
          <a:off x="403860" y="4373880"/>
          <a:ext cx="2304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Maximum</a:t>
          </a:r>
          <a:r>
            <a:rPr lang="en-US" sz="1400" b="1" baseline="0"/>
            <a:t> Sale Asking Price</a:t>
          </a:r>
          <a:endParaRPr lang="en-US" sz="1400" b="1"/>
        </a:p>
      </xdr:txBody>
    </xdr:sp>
    <xdr:clientData/>
  </xdr:twoCellAnchor>
  <xdr:twoCellAnchor>
    <xdr:from>
      <xdr:col>0</xdr:col>
      <xdr:colOff>449580</xdr:colOff>
      <xdr:row>26</xdr:row>
      <xdr:rowOff>22860</xdr:rowOff>
    </xdr:from>
    <xdr:to>
      <xdr:col>4</xdr:col>
      <xdr:colOff>243180</xdr:colOff>
      <xdr:row>28</xdr:row>
      <xdr:rowOff>167640</xdr:rowOff>
    </xdr:to>
    <xdr:sp macro="" textlink="'Pivot Table Sale'!$O$5">
      <xdr:nvSpPr>
        <xdr:cNvPr id="12" name="Rectangle: Rounded Corners 11">
          <a:extLst>
            <a:ext uri="{FF2B5EF4-FFF2-40B4-BE49-F238E27FC236}">
              <a16:creationId xmlns:a16="http://schemas.microsoft.com/office/drawing/2014/main" id="{8205D268-9BCA-4880-A91B-E5BBCFA48410}"/>
            </a:ext>
          </a:extLst>
        </xdr:cNvPr>
        <xdr:cNvSpPr/>
      </xdr:nvSpPr>
      <xdr:spPr>
        <a:xfrm>
          <a:off x="449580" y="4777740"/>
          <a:ext cx="2232000" cy="5105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B9145A-0767-4736-A912-11A2136C60D0}" type="TxLink">
            <a:rPr lang="en-US" sz="3200" b="1" i="0" u="none" strike="noStrike">
              <a:solidFill>
                <a:schemeClr val="bg1"/>
              </a:solidFill>
              <a:latin typeface="Calibri"/>
              <a:cs typeface="Calibri"/>
            </a:rPr>
            <a:pPr algn="ctr"/>
            <a:t>₦5,000.0M</a:t>
          </a:fld>
          <a:endParaRPr lang="en-US" sz="8000" b="1">
            <a:solidFill>
              <a:schemeClr val="bg1"/>
            </a:solidFill>
          </a:endParaRPr>
        </a:p>
      </xdr:txBody>
    </xdr:sp>
    <xdr:clientData/>
  </xdr:twoCellAnchor>
  <xdr:twoCellAnchor>
    <xdr:from>
      <xdr:col>0</xdr:col>
      <xdr:colOff>579120</xdr:colOff>
      <xdr:row>11</xdr:row>
      <xdr:rowOff>7620</xdr:rowOff>
    </xdr:from>
    <xdr:to>
      <xdr:col>4</xdr:col>
      <xdr:colOff>84720</xdr:colOff>
      <xdr:row>11</xdr:row>
      <xdr:rowOff>7620</xdr:rowOff>
    </xdr:to>
    <xdr:cxnSp macro="">
      <xdr:nvCxnSpPr>
        <xdr:cNvPr id="13" name="Straight Connector 12">
          <a:extLst>
            <a:ext uri="{FF2B5EF4-FFF2-40B4-BE49-F238E27FC236}">
              <a16:creationId xmlns:a16="http://schemas.microsoft.com/office/drawing/2014/main" id="{BB875BFE-21F2-4C17-A4CB-ADC8E58C0DF2}"/>
            </a:ext>
          </a:extLst>
        </xdr:cNvPr>
        <xdr:cNvCxnSpPr/>
      </xdr:nvCxnSpPr>
      <xdr:spPr>
        <a:xfrm>
          <a:off x="579120" y="201930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579120</xdr:colOff>
      <xdr:row>17</xdr:row>
      <xdr:rowOff>45720</xdr:rowOff>
    </xdr:from>
    <xdr:to>
      <xdr:col>4</xdr:col>
      <xdr:colOff>84720</xdr:colOff>
      <xdr:row>17</xdr:row>
      <xdr:rowOff>45720</xdr:rowOff>
    </xdr:to>
    <xdr:cxnSp macro="">
      <xdr:nvCxnSpPr>
        <xdr:cNvPr id="14" name="Straight Connector 13">
          <a:extLst>
            <a:ext uri="{FF2B5EF4-FFF2-40B4-BE49-F238E27FC236}">
              <a16:creationId xmlns:a16="http://schemas.microsoft.com/office/drawing/2014/main" id="{1A8F051C-8F81-40DC-870E-1A03BF575873}"/>
            </a:ext>
          </a:extLst>
        </xdr:cNvPr>
        <xdr:cNvCxnSpPr/>
      </xdr:nvCxnSpPr>
      <xdr:spPr>
        <a:xfrm>
          <a:off x="579120" y="315468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579120</xdr:colOff>
      <xdr:row>23</xdr:row>
      <xdr:rowOff>53340</xdr:rowOff>
    </xdr:from>
    <xdr:to>
      <xdr:col>4</xdr:col>
      <xdr:colOff>84720</xdr:colOff>
      <xdr:row>23</xdr:row>
      <xdr:rowOff>53340</xdr:rowOff>
    </xdr:to>
    <xdr:cxnSp macro="">
      <xdr:nvCxnSpPr>
        <xdr:cNvPr id="15" name="Straight Connector 14">
          <a:extLst>
            <a:ext uri="{FF2B5EF4-FFF2-40B4-BE49-F238E27FC236}">
              <a16:creationId xmlns:a16="http://schemas.microsoft.com/office/drawing/2014/main" id="{C9408C70-C772-4FF4-8471-29DED62CF081}"/>
            </a:ext>
          </a:extLst>
        </xdr:cNvPr>
        <xdr:cNvCxnSpPr/>
      </xdr:nvCxnSpPr>
      <xdr:spPr>
        <a:xfrm>
          <a:off x="579120" y="425958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579120</xdr:colOff>
      <xdr:row>29</xdr:row>
      <xdr:rowOff>53340</xdr:rowOff>
    </xdr:from>
    <xdr:to>
      <xdr:col>4</xdr:col>
      <xdr:colOff>84720</xdr:colOff>
      <xdr:row>29</xdr:row>
      <xdr:rowOff>53340</xdr:rowOff>
    </xdr:to>
    <xdr:cxnSp macro="">
      <xdr:nvCxnSpPr>
        <xdr:cNvPr id="16" name="Straight Connector 15">
          <a:extLst>
            <a:ext uri="{FF2B5EF4-FFF2-40B4-BE49-F238E27FC236}">
              <a16:creationId xmlns:a16="http://schemas.microsoft.com/office/drawing/2014/main" id="{81134846-C295-4231-A6D2-ED50FAC60BAE}"/>
            </a:ext>
          </a:extLst>
        </xdr:cNvPr>
        <xdr:cNvCxnSpPr/>
      </xdr:nvCxnSpPr>
      <xdr:spPr>
        <a:xfrm>
          <a:off x="579120" y="5356860"/>
          <a:ext cx="1944000" cy="0"/>
        </a:xfrm>
        <a:prstGeom prst="line">
          <a:avLst/>
        </a:prstGeom>
        <a:ln>
          <a:solidFill>
            <a:srgbClr val="FFC000"/>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4</xdr:col>
      <xdr:colOff>297180</xdr:colOff>
      <xdr:row>6</xdr:row>
      <xdr:rowOff>22860</xdr:rowOff>
    </xdr:from>
    <xdr:to>
      <xdr:col>11</xdr:col>
      <xdr:colOff>97980</xdr:colOff>
      <xdr:row>36</xdr:row>
      <xdr:rowOff>8460</xdr:rowOff>
    </xdr:to>
    <xdr:sp macro="" textlink="">
      <xdr:nvSpPr>
        <xdr:cNvPr id="17" name="Rectangle: Rounded Corners 16">
          <a:extLst>
            <a:ext uri="{FF2B5EF4-FFF2-40B4-BE49-F238E27FC236}">
              <a16:creationId xmlns:a16="http://schemas.microsoft.com/office/drawing/2014/main" id="{7C75F364-6282-4EEE-B875-6D9B3D90FEF8}"/>
            </a:ext>
          </a:extLst>
        </xdr:cNvPr>
        <xdr:cNvSpPr/>
      </xdr:nvSpPr>
      <xdr:spPr>
        <a:xfrm>
          <a:off x="2735580" y="1120140"/>
          <a:ext cx="4068000" cy="5472000"/>
        </a:xfrm>
        <a:prstGeom prst="roundRect">
          <a:avLst>
            <a:gd name="adj" fmla="val 895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0</xdr:col>
      <xdr:colOff>441960</xdr:colOff>
      <xdr:row>32</xdr:row>
      <xdr:rowOff>45720</xdr:rowOff>
    </xdr:from>
    <xdr:to>
      <xdr:col>4</xdr:col>
      <xdr:colOff>235560</xdr:colOff>
      <xdr:row>35</xdr:row>
      <xdr:rowOff>73080</xdr:rowOff>
    </xdr:to>
    <xdr:sp macro="" textlink="">
      <xdr:nvSpPr>
        <xdr:cNvPr id="18" name="Rectangle: Rounded Corners 17">
          <a:extLst>
            <a:ext uri="{FF2B5EF4-FFF2-40B4-BE49-F238E27FC236}">
              <a16:creationId xmlns:a16="http://schemas.microsoft.com/office/drawing/2014/main" id="{45C5B42F-144D-4236-8BB9-8C1ECC7EA1C2}"/>
            </a:ext>
          </a:extLst>
        </xdr:cNvPr>
        <xdr:cNvSpPr/>
      </xdr:nvSpPr>
      <xdr:spPr>
        <a:xfrm>
          <a:off x="441960" y="5897880"/>
          <a:ext cx="2232000" cy="576000"/>
        </a:xfrm>
        <a:prstGeom prst="roundRect">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p>
      </xdr:txBody>
    </xdr:sp>
    <xdr:clientData/>
  </xdr:twoCellAnchor>
  <xdr:twoCellAnchor>
    <xdr:from>
      <xdr:col>4</xdr:col>
      <xdr:colOff>259080</xdr:colOff>
      <xdr:row>6</xdr:row>
      <xdr:rowOff>15240</xdr:rowOff>
    </xdr:from>
    <xdr:to>
      <xdr:col>11</xdr:col>
      <xdr:colOff>106680</xdr:colOff>
      <xdr:row>9</xdr:row>
      <xdr:rowOff>78600</xdr:rowOff>
    </xdr:to>
    <xdr:sp macro="" textlink="'Pivot Table Sale'!$A$25:$B$25">
      <xdr:nvSpPr>
        <xdr:cNvPr id="19" name="Rectangle: Rounded Corners 18">
          <a:extLst>
            <a:ext uri="{FF2B5EF4-FFF2-40B4-BE49-F238E27FC236}">
              <a16:creationId xmlns:a16="http://schemas.microsoft.com/office/drawing/2014/main" id="{37369D83-A27F-4CA7-8015-C6F90ED5BA32}"/>
            </a:ext>
          </a:extLst>
        </xdr:cNvPr>
        <xdr:cNvSpPr/>
      </xdr:nvSpPr>
      <xdr:spPr>
        <a:xfrm>
          <a:off x="2697480" y="1112520"/>
          <a:ext cx="4114800" cy="612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F9A2710-BFE8-4AEF-AC76-0547580BDBDD}" type="TxLink">
            <a:rPr lang="en-US" sz="1200" b="1" i="0" u="none" strike="noStrike">
              <a:solidFill>
                <a:schemeClr val="bg1"/>
              </a:solidFill>
              <a:latin typeface="Calibri"/>
              <a:cs typeface="Calibri"/>
            </a:rPr>
            <a:pPr algn="ctr"/>
            <a:t>Sale Listing Count by Area (Lokogoma Leads with 20 Listings)</a:t>
          </a:fld>
          <a:endParaRPr lang="en-US" sz="1400" b="1">
            <a:solidFill>
              <a:schemeClr val="bg1"/>
            </a:solidFill>
          </a:endParaRPr>
        </a:p>
      </xdr:txBody>
    </xdr:sp>
    <xdr:clientData/>
  </xdr:twoCellAnchor>
  <xdr:twoCellAnchor>
    <xdr:from>
      <xdr:col>4</xdr:col>
      <xdr:colOff>441960</xdr:colOff>
      <xdr:row>0</xdr:row>
      <xdr:rowOff>152400</xdr:rowOff>
    </xdr:from>
    <xdr:to>
      <xdr:col>23</xdr:col>
      <xdr:colOff>19560</xdr:colOff>
      <xdr:row>5</xdr:row>
      <xdr:rowOff>138000</xdr:rowOff>
    </xdr:to>
    <xdr:sp macro="" textlink="">
      <xdr:nvSpPr>
        <xdr:cNvPr id="20" name="Rectangle: Rounded Corners 19">
          <a:extLst>
            <a:ext uri="{FF2B5EF4-FFF2-40B4-BE49-F238E27FC236}">
              <a16:creationId xmlns:a16="http://schemas.microsoft.com/office/drawing/2014/main" id="{7ADFF438-CD18-46D1-87E6-1A49860899BD}"/>
            </a:ext>
          </a:extLst>
        </xdr:cNvPr>
        <xdr:cNvSpPr/>
      </xdr:nvSpPr>
      <xdr:spPr>
        <a:xfrm>
          <a:off x="2880360" y="152400"/>
          <a:ext cx="11160000" cy="900000"/>
        </a:xfrm>
        <a:prstGeom prst="roundRect">
          <a:avLst/>
        </a:prstGeom>
        <a:solidFill>
          <a:schemeClr val="tx1">
            <a:alpha val="66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solidFill>
              <a:srgbClr val="FFC000"/>
            </a:solidFill>
          </a:endParaRPr>
        </a:p>
      </xdr:txBody>
    </xdr:sp>
    <xdr:clientData/>
  </xdr:twoCellAnchor>
  <xdr:twoCellAnchor>
    <xdr:from>
      <xdr:col>0</xdr:col>
      <xdr:colOff>419100</xdr:colOff>
      <xdr:row>36</xdr:row>
      <xdr:rowOff>83820</xdr:rowOff>
    </xdr:from>
    <xdr:to>
      <xdr:col>23</xdr:col>
      <xdr:colOff>76200</xdr:colOff>
      <xdr:row>39</xdr:row>
      <xdr:rowOff>111180</xdr:rowOff>
    </xdr:to>
    <xdr:sp macro="" textlink="">
      <xdr:nvSpPr>
        <xdr:cNvPr id="21" name="Rectangle: Rounded Corners 20">
          <a:extLst>
            <a:ext uri="{FF2B5EF4-FFF2-40B4-BE49-F238E27FC236}">
              <a16:creationId xmlns:a16="http://schemas.microsoft.com/office/drawing/2014/main" id="{AFA67EAD-B045-461B-BD94-8F5BCA5B0B4F}"/>
            </a:ext>
          </a:extLst>
        </xdr:cNvPr>
        <xdr:cNvSpPr/>
      </xdr:nvSpPr>
      <xdr:spPr>
        <a:xfrm>
          <a:off x="419100" y="6667500"/>
          <a:ext cx="13677900" cy="576000"/>
        </a:xfrm>
        <a:prstGeom prst="roundRect">
          <a:avLst/>
        </a:prstGeom>
        <a:solidFill>
          <a:schemeClr val="tx1">
            <a:alpha val="9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Detached duplexes account for 32.9% of sale listings (76 of 231), followed by flats/apartments at 27.3% (63 listings). Four-bedroom properties are the most common bedroom category, representing 34.2% (79 listings). Developers should assess the relationship between property type and bedroom configuration to identify the most represented housing segments in Abuja’s advertised sale market.</a:t>
          </a:r>
        </a:p>
      </xdr:txBody>
    </xdr:sp>
    <xdr:clientData/>
  </xdr:twoCellAnchor>
  <xdr:twoCellAnchor>
    <xdr:from>
      <xdr:col>11</xdr:col>
      <xdr:colOff>160020</xdr:colOff>
      <xdr:row>6</xdr:row>
      <xdr:rowOff>22860</xdr:rowOff>
    </xdr:from>
    <xdr:to>
      <xdr:col>23</xdr:col>
      <xdr:colOff>8820</xdr:colOff>
      <xdr:row>21</xdr:row>
      <xdr:rowOff>51660</xdr:rowOff>
    </xdr:to>
    <xdr:sp macro="" textlink="">
      <xdr:nvSpPr>
        <xdr:cNvPr id="22" name="Rectangle: Rounded Corners 21">
          <a:extLst>
            <a:ext uri="{FF2B5EF4-FFF2-40B4-BE49-F238E27FC236}">
              <a16:creationId xmlns:a16="http://schemas.microsoft.com/office/drawing/2014/main" id="{ADA5B4B2-AC13-425F-BE42-66469FE98557}"/>
            </a:ext>
          </a:extLst>
        </xdr:cNvPr>
        <xdr:cNvSpPr/>
      </xdr:nvSpPr>
      <xdr:spPr>
        <a:xfrm>
          <a:off x="6865620" y="1120140"/>
          <a:ext cx="7164000" cy="2772000"/>
        </a:xfrm>
        <a:prstGeom prst="roundRect">
          <a:avLst>
            <a:gd name="adj" fmla="val 7027"/>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11</xdr:col>
      <xdr:colOff>160020</xdr:colOff>
      <xdr:row>21</xdr:row>
      <xdr:rowOff>114300</xdr:rowOff>
    </xdr:from>
    <xdr:to>
      <xdr:col>23</xdr:col>
      <xdr:colOff>22860</xdr:colOff>
      <xdr:row>35</xdr:row>
      <xdr:rowOff>181980</xdr:rowOff>
    </xdr:to>
    <xdr:sp macro="" textlink="">
      <xdr:nvSpPr>
        <xdr:cNvPr id="23" name="Rectangle: Rounded Corners 22">
          <a:extLst>
            <a:ext uri="{FF2B5EF4-FFF2-40B4-BE49-F238E27FC236}">
              <a16:creationId xmlns:a16="http://schemas.microsoft.com/office/drawing/2014/main" id="{D69C100C-F02B-4D52-8540-D4AB136DA360}"/>
            </a:ext>
          </a:extLst>
        </xdr:cNvPr>
        <xdr:cNvSpPr/>
      </xdr:nvSpPr>
      <xdr:spPr>
        <a:xfrm>
          <a:off x="6865620" y="3954780"/>
          <a:ext cx="7178040" cy="2628000"/>
        </a:xfrm>
        <a:prstGeom prst="roundRect">
          <a:avLst>
            <a:gd name="adj" fmla="val 6921"/>
          </a:avLst>
        </a:prstGeom>
        <a:solidFill>
          <a:schemeClr val="tx1">
            <a:alpha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11</xdr:col>
      <xdr:colOff>91440</xdr:colOff>
      <xdr:row>21</xdr:row>
      <xdr:rowOff>60960</xdr:rowOff>
    </xdr:from>
    <xdr:to>
      <xdr:col>23</xdr:col>
      <xdr:colOff>84240</xdr:colOff>
      <xdr:row>24</xdr:row>
      <xdr:rowOff>88320</xdr:rowOff>
    </xdr:to>
    <xdr:sp macro="" textlink="'Pivot Table Sale'!$D$62:$E$62">
      <xdr:nvSpPr>
        <xdr:cNvPr id="24" name="Rectangle: Rounded Corners 23">
          <a:extLst>
            <a:ext uri="{FF2B5EF4-FFF2-40B4-BE49-F238E27FC236}">
              <a16:creationId xmlns:a16="http://schemas.microsoft.com/office/drawing/2014/main" id="{9C280608-8822-44DA-B182-801DF7A5AB6F}"/>
            </a:ext>
          </a:extLst>
        </xdr:cNvPr>
        <xdr:cNvSpPr/>
      </xdr:nvSpPr>
      <xdr:spPr>
        <a:xfrm>
          <a:off x="6797040" y="3901440"/>
          <a:ext cx="7308000" cy="576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820DF1-B9F3-4CFA-963C-A2535C229F09}" type="TxLink">
            <a:rPr lang="en-US" sz="1200" b="1" i="0" u="none" strike="noStrike">
              <a:solidFill>
                <a:schemeClr val="bg1"/>
              </a:solidFill>
              <a:latin typeface="Calibri"/>
              <a:cs typeface="Calibri"/>
            </a:rPr>
            <a:pPr algn="ctr"/>
            <a:t>Sale Listings Count by Number of Bedrooms (Listings with 4 Bedrooms Leads with 79 Listings, which is 34.2% of Listings)</a:t>
          </a:fld>
          <a:endParaRPr lang="en-US" sz="1600" b="1">
            <a:solidFill>
              <a:schemeClr val="bg1"/>
            </a:solidFill>
          </a:endParaRPr>
        </a:p>
      </xdr:txBody>
    </xdr:sp>
    <xdr:clientData/>
  </xdr:twoCellAnchor>
  <xdr:twoCellAnchor>
    <xdr:from>
      <xdr:col>11</xdr:col>
      <xdr:colOff>121920</xdr:colOff>
      <xdr:row>5</xdr:row>
      <xdr:rowOff>144780</xdr:rowOff>
    </xdr:from>
    <xdr:to>
      <xdr:col>23</xdr:col>
      <xdr:colOff>30480</xdr:colOff>
      <xdr:row>8</xdr:row>
      <xdr:rowOff>28140</xdr:rowOff>
    </xdr:to>
    <xdr:sp macro="" textlink="'Pivot Table Sale'!$A$62:$B$62">
      <xdr:nvSpPr>
        <xdr:cNvPr id="25" name="Rectangle: Rounded Corners 24">
          <a:extLst>
            <a:ext uri="{FF2B5EF4-FFF2-40B4-BE49-F238E27FC236}">
              <a16:creationId xmlns:a16="http://schemas.microsoft.com/office/drawing/2014/main" id="{B6404263-3F72-483C-B4A9-0586BE75A21E}"/>
            </a:ext>
          </a:extLst>
        </xdr:cNvPr>
        <xdr:cNvSpPr/>
      </xdr:nvSpPr>
      <xdr:spPr>
        <a:xfrm>
          <a:off x="6827520" y="1059180"/>
          <a:ext cx="7223760" cy="432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F917342-2E7C-4F5A-8650-D24AF3D2CD59}" type="TxLink">
            <a:rPr lang="en-US" sz="1400" b="1" i="0" u="none" strike="noStrike">
              <a:solidFill>
                <a:schemeClr val="bg1"/>
              </a:solidFill>
              <a:latin typeface="Calibri"/>
              <a:cs typeface="Calibri"/>
            </a:rPr>
            <a:pPr algn="ctr"/>
            <a:t>Sale Listings by Property Type (Detached Duplex Leads with 76 Listings)</a:t>
          </a:fld>
          <a:endParaRPr lang="en-US" sz="1400" b="1">
            <a:solidFill>
              <a:schemeClr val="bg1"/>
            </a:solidFill>
          </a:endParaRPr>
        </a:p>
      </xdr:txBody>
    </xdr:sp>
    <xdr:clientData/>
  </xdr:twoCellAnchor>
  <xdr:twoCellAnchor editAs="oneCell">
    <xdr:from>
      <xdr:col>4</xdr:col>
      <xdr:colOff>548640</xdr:colOff>
      <xdr:row>1</xdr:row>
      <xdr:rowOff>68580</xdr:rowOff>
    </xdr:from>
    <xdr:to>
      <xdr:col>18</xdr:col>
      <xdr:colOff>150240</xdr:colOff>
      <xdr:row>5</xdr:row>
      <xdr:rowOff>21060</xdr:rowOff>
    </xdr:to>
    <mc:AlternateContent xmlns:mc="http://schemas.openxmlformats.org/markup-compatibility/2006" xmlns:a14="http://schemas.microsoft.com/office/drawing/2010/main">
      <mc:Choice Requires="a14">
        <xdr:graphicFrame macro="">
          <xdr:nvGraphicFramePr>
            <xdr:cNvPr id="32" name="area 5">
              <a:extLst>
                <a:ext uri="{FF2B5EF4-FFF2-40B4-BE49-F238E27FC236}">
                  <a16:creationId xmlns:a16="http://schemas.microsoft.com/office/drawing/2014/main" id="{96EF1DD4-4AE8-482E-9FAE-6D32AA2AF0AF}"/>
                </a:ext>
              </a:extLst>
            </xdr:cNvPr>
            <xdr:cNvGraphicFramePr/>
          </xdr:nvGraphicFramePr>
          <xdr:xfrm>
            <a:off x="0" y="0"/>
            <a:ext cx="0" cy="0"/>
          </xdr:xfrm>
          <a:graphic>
            <a:graphicData uri="http://schemas.microsoft.com/office/drawing/2010/slicer">
              <sle:slicer xmlns:sle="http://schemas.microsoft.com/office/drawing/2010/slicer" name="area 5"/>
            </a:graphicData>
          </a:graphic>
        </xdr:graphicFrame>
      </mc:Choice>
      <mc:Fallback xmlns="">
        <xdr:sp macro="" textlink="">
          <xdr:nvSpPr>
            <xdr:cNvPr id="0" name=""/>
            <xdr:cNvSpPr>
              <a:spLocks noTextEdit="1"/>
            </xdr:cNvSpPr>
          </xdr:nvSpPr>
          <xdr:spPr>
            <a:xfrm>
              <a:off x="2987040" y="251460"/>
              <a:ext cx="8136000" cy="68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586740</xdr:colOff>
      <xdr:row>1</xdr:row>
      <xdr:rowOff>15240</xdr:rowOff>
    </xdr:from>
    <xdr:to>
      <xdr:col>22</xdr:col>
      <xdr:colOff>344340</xdr:colOff>
      <xdr:row>5</xdr:row>
      <xdr:rowOff>75720</xdr:rowOff>
    </xdr:to>
    <mc:AlternateContent xmlns:mc="http://schemas.openxmlformats.org/markup-compatibility/2006" xmlns:a14="http://schemas.microsoft.com/office/drawing/2010/main">
      <mc:Choice Requires="a14">
        <xdr:graphicFrame macro="">
          <xdr:nvGraphicFramePr>
            <xdr:cNvPr id="33" name="Price Tier 5">
              <a:extLst>
                <a:ext uri="{FF2B5EF4-FFF2-40B4-BE49-F238E27FC236}">
                  <a16:creationId xmlns:a16="http://schemas.microsoft.com/office/drawing/2014/main" id="{1DF15CEC-ABCB-4E3C-BDE9-48E68B26C549}"/>
                </a:ext>
              </a:extLst>
            </xdr:cNvPr>
            <xdr:cNvGraphicFramePr/>
          </xdr:nvGraphicFramePr>
          <xdr:xfrm>
            <a:off x="0" y="0"/>
            <a:ext cx="0" cy="0"/>
          </xdr:xfrm>
          <a:graphic>
            <a:graphicData uri="http://schemas.microsoft.com/office/drawing/2010/slicer">
              <sle:slicer xmlns:sle="http://schemas.microsoft.com/office/drawing/2010/slicer" name="Price Tier 5"/>
            </a:graphicData>
          </a:graphic>
        </xdr:graphicFrame>
      </mc:Choice>
      <mc:Fallback xmlns="">
        <xdr:sp macro="" textlink="">
          <xdr:nvSpPr>
            <xdr:cNvPr id="0" name=""/>
            <xdr:cNvSpPr>
              <a:spLocks noTextEdit="1"/>
            </xdr:cNvSpPr>
          </xdr:nvSpPr>
          <xdr:spPr>
            <a:xfrm>
              <a:off x="11559540" y="198120"/>
              <a:ext cx="2196000" cy="79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266700</xdr:colOff>
      <xdr:row>9</xdr:row>
      <xdr:rowOff>15240</xdr:rowOff>
    </xdr:from>
    <xdr:to>
      <xdr:col>9</xdr:col>
      <xdr:colOff>602700</xdr:colOff>
      <xdr:row>36</xdr:row>
      <xdr:rowOff>45480</xdr:rowOff>
    </xdr:to>
    <xdr:graphicFrame macro="">
      <xdr:nvGraphicFramePr>
        <xdr:cNvPr id="34" name="Chart 33">
          <a:extLst>
            <a:ext uri="{FF2B5EF4-FFF2-40B4-BE49-F238E27FC236}">
              <a16:creationId xmlns:a16="http://schemas.microsoft.com/office/drawing/2014/main" id="{093B1FAD-9E8B-4548-86DF-180061C49A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137160</xdr:colOff>
      <xdr:row>7</xdr:row>
      <xdr:rowOff>144780</xdr:rowOff>
    </xdr:from>
    <xdr:to>
      <xdr:col>22</xdr:col>
      <xdr:colOff>594360</xdr:colOff>
      <xdr:row>21</xdr:row>
      <xdr:rowOff>32460</xdr:rowOff>
    </xdr:to>
    <xdr:graphicFrame macro="">
      <xdr:nvGraphicFramePr>
        <xdr:cNvPr id="36" name="Chart 35">
          <a:extLst>
            <a:ext uri="{FF2B5EF4-FFF2-40B4-BE49-F238E27FC236}">
              <a16:creationId xmlns:a16="http://schemas.microsoft.com/office/drawing/2014/main" id="{1D7DCABE-AFD1-4DD2-9365-B5D6CFA0BA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144780</xdr:colOff>
      <xdr:row>24</xdr:row>
      <xdr:rowOff>7620</xdr:rowOff>
    </xdr:from>
    <xdr:to>
      <xdr:col>23</xdr:col>
      <xdr:colOff>15240</xdr:colOff>
      <xdr:row>36</xdr:row>
      <xdr:rowOff>38100</xdr:rowOff>
    </xdr:to>
    <xdr:graphicFrame macro="">
      <xdr:nvGraphicFramePr>
        <xdr:cNvPr id="37" name="Chart 36">
          <a:extLst>
            <a:ext uri="{FF2B5EF4-FFF2-40B4-BE49-F238E27FC236}">
              <a16:creationId xmlns:a16="http://schemas.microsoft.com/office/drawing/2014/main" id="{EBD231CE-6E40-42CA-ADB9-F1B4D36302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388620</xdr:colOff>
      <xdr:row>32</xdr:row>
      <xdr:rowOff>7620</xdr:rowOff>
    </xdr:from>
    <xdr:to>
      <xdr:col>1</xdr:col>
      <xdr:colOff>355020</xdr:colOff>
      <xdr:row>35</xdr:row>
      <xdr:rowOff>106980</xdr:rowOff>
    </xdr:to>
    <xdr:sp macro="[0]!SaleDashboard2LPBotton_Click" textlink="">
      <xdr:nvSpPr>
        <xdr:cNvPr id="38" name="Sale Dashboard 2 LP Botton">
          <a:extLst>
            <a:ext uri="{FF2B5EF4-FFF2-40B4-BE49-F238E27FC236}">
              <a16:creationId xmlns:a16="http://schemas.microsoft.com/office/drawing/2014/main" id="{307B2F16-42D3-4BB4-A6CD-3B404804B274}"/>
            </a:ext>
          </a:extLst>
        </xdr:cNvPr>
        <xdr:cNvSpPr/>
      </xdr:nvSpPr>
      <xdr:spPr>
        <a:xfrm>
          <a:off x="388620" y="585978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LP</a:t>
          </a:r>
        </a:p>
      </xdr:txBody>
    </xdr:sp>
    <xdr:clientData/>
  </xdr:twoCellAnchor>
  <xdr:twoCellAnchor>
    <xdr:from>
      <xdr:col>1</xdr:col>
      <xdr:colOff>365760</xdr:colOff>
      <xdr:row>32</xdr:row>
      <xdr:rowOff>7620</xdr:rowOff>
    </xdr:from>
    <xdr:to>
      <xdr:col>2</xdr:col>
      <xdr:colOff>332160</xdr:colOff>
      <xdr:row>35</xdr:row>
      <xdr:rowOff>106980</xdr:rowOff>
    </xdr:to>
    <xdr:sp macro="[0]!SaleDashboard2RD1Botton_Click" textlink="">
      <xdr:nvSpPr>
        <xdr:cNvPr id="39" name="Sale Dashboard 2 RD1 Botton">
          <a:extLst>
            <a:ext uri="{FF2B5EF4-FFF2-40B4-BE49-F238E27FC236}">
              <a16:creationId xmlns:a16="http://schemas.microsoft.com/office/drawing/2014/main" id="{33693B45-277E-45BD-B269-71858390C917}"/>
            </a:ext>
          </a:extLst>
        </xdr:cNvPr>
        <xdr:cNvSpPr/>
      </xdr:nvSpPr>
      <xdr:spPr>
        <a:xfrm>
          <a:off x="975360" y="585978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RD1</a:t>
          </a:r>
        </a:p>
      </xdr:txBody>
    </xdr:sp>
    <xdr:clientData/>
  </xdr:twoCellAnchor>
  <xdr:twoCellAnchor>
    <xdr:from>
      <xdr:col>2</xdr:col>
      <xdr:colOff>350520</xdr:colOff>
      <xdr:row>32</xdr:row>
      <xdr:rowOff>7620</xdr:rowOff>
    </xdr:from>
    <xdr:to>
      <xdr:col>3</xdr:col>
      <xdr:colOff>316920</xdr:colOff>
      <xdr:row>35</xdr:row>
      <xdr:rowOff>106980</xdr:rowOff>
    </xdr:to>
    <xdr:sp macro="[0]!SaleDashboard2RD2Botton_Click" textlink="">
      <xdr:nvSpPr>
        <xdr:cNvPr id="40" name="Sale Dashboard 2 RD2 Botton">
          <a:extLst>
            <a:ext uri="{FF2B5EF4-FFF2-40B4-BE49-F238E27FC236}">
              <a16:creationId xmlns:a16="http://schemas.microsoft.com/office/drawing/2014/main" id="{732AB7D5-4C36-47BC-B0E3-47E52020E8EE}"/>
            </a:ext>
          </a:extLst>
        </xdr:cNvPr>
        <xdr:cNvSpPr/>
      </xdr:nvSpPr>
      <xdr:spPr>
        <a:xfrm>
          <a:off x="1569720" y="585978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RD2</a:t>
          </a:r>
        </a:p>
      </xdr:txBody>
    </xdr:sp>
    <xdr:clientData/>
  </xdr:twoCellAnchor>
  <xdr:twoCellAnchor>
    <xdr:from>
      <xdr:col>3</xdr:col>
      <xdr:colOff>320040</xdr:colOff>
      <xdr:row>32</xdr:row>
      <xdr:rowOff>7620</xdr:rowOff>
    </xdr:from>
    <xdr:to>
      <xdr:col>4</xdr:col>
      <xdr:colOff>286440</xdr:colOff>
      <xdr:row>35</xdr:row>
      <xdr:rowOff>106980</xdr:rowOff>
    </xdr:to>
    <xdr:sp macro="[0]!SaleDashboard2SD1Botton_Click" textlink="">
      <xdr:nvSpPr>
        <xdr:cNvPr id="41" name="Sale Dashboard 2 SD1 Botton">
          <a:extLst>
            <a:ext uri="{FF2B5EF4-FFF2-40B4-BE49-F238E27FC236}">
              <a16:creationId xmlns:a16="http://schemas.microsoft.com/office/drawing/2014/main" id="{02033AA5-249A-4D81-8035-FDC224E26A38}"/>
            </a:ext>
          </a:extLst>
        </xdr:cNvPr>
        <xdr:cNvSpPr/>
      </xdr:nvSpPr>
      <xdr:spPr>
        <a:xfrm>
          <a:off x="2148840" y="5859780"/>
          <a:ext cx="576000" cy="64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A700"/>
              </a:solidFill>
            </a:rPr>
            <a:t>SD1</a:t>
          </a:r>
        </a:p>
      </xdr:txBody>
    </xdr:sp>
    <xdr:clientData/>
  </xdr:twoCellAnchor>
  <xdr:twoCellAnchor>
    <xdr:from>
      <xdr:col>1</xdr:col>
      <xdr:colOff>335280</xdr:colOff>
      <xdr:row>32</xdr:row>
      <xdr:rowOff>114300</xdr:rowOff>
    </xdr:from>
    <xdr:to>
      <xdr:col>1</xdr:col>
      <xdr:colOff>335280</xdr:colOff>
      <xdr:row>34</xdr:row>
      <xdr:rowOff>180540</xdr:rowOff>
    </xdr:to>
    <xdr:cxnSp macro="">
      <xdr:nvCxnSpPr>
        <xdr:cNvPr id="42" name="Straight Connector 41">
          <a:extLst>
            <a:ext uri="{FF2B5EF4-FFF2-40B4-BE49-F238E27FC236}">
              <a16:creationId xmlns:a16="http://schemas.microsoft.com/office/drawing/2014/main" id="{BE3CA2FA-F1F0-4B03-8EDF-FBF340894DA2}"/>
            </a:ext>
          </a:extLst>
        </xdr:cNvPr>
        <xdr:cNvCxnSpPr/>
      </xdr:nvCxnSpPr>
      <xdr:spPr>
        <a:xfrm>
          <a:off x="944880" y="596646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twoCellAnchor>
    <xdr:from>
      <xdr:col>2</xdr:col>
      <xdr:colOff>335280</xdr:colOff>
      <xdr:row>32</xdr:row>
      <xdr:rowOff>114300</xdr:rowOff>
    </xdr:from>
    <xdr:to>
      <xdr:col>2</xdr:col>
      <xdr:colOff>335280</xdr:colOff>
      <xdr:row>34</xdr:row>
      <xdr:rowOff>180540</xdr:rowOff>
    </xdr:to>
    <xdr:cxnSp macro="">
      <xdr:nvCxnSpPr>
        <xdr:cNvPr id="43" name="Straight Connector 42">
          <a:extLst>
            <a:ext uri="{FF2B5EF4-FFF2-40B4-BE49-F238E27FC236}">
              <a16:creationId xmlns:a16="http://schemas.microsoft.com/office/drawing/2014/main" id="{32619702-ABB0-4AD7-9081-BF17B58CE988}"/>
            </a:ext>
          </a:extLst>
        </xdr:cNvPr>
        <xdr:cNvCxnSpPr/>
      </xdr:nvCxnSpPr>
      <xdr:spPr>
        <a:xfrm>
          <a:off x="1554480" y="596646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twoCellAnchor>
    <xdr:from>
      <xdr:col>3</xdr:col>
      <xdr:colOff>297180</xdr:colOff>
      <xdr:row>32</xdr:row>
      <xdr:rowOff>114300</xdr:rowOff>
    </xdr:from>
    <xdr:to>
      <xdr:col>3</xdr:col>
      <xdr:colOff>297180</xdr:colOff>
      <xdr:row>34</xdr:row>
      <xdr:rowOff>180540</xdr:rowOff>
    </xdr:to>
    <xdr:cxnSp macro="">
      <xdr:nvCxnSpPr>
        <xdr:cNvPr id="44" name="Straight Connector 43">
          <a:extLst>
            <a:ext uri="{FF2B5EF4-FFF2-40B4-BE49-F238E27FC236}">
              <a16:creationId xmlns:a16="http://schemas.microsoft.com/office/drawing/2014/main" id="{A6BE681B-84DF-49F2-9578-A35EE9B022DA}"/>
            </a:ext>
          </a:extLst>
        </xdr:cNvPr>
        <xdr:cNvCxnSpPr/>
      </xdr:nvCxnSpPr>
      <xdr:spPr>
        <a:xfrm>
          <a:off x="2125980" y="5966460"/>
          <a:ext cx="0" cy="432000"/>
        </a:xfrm>
        <a:prstGeom prst="line">
          <a:avLst/>
        </a:prstGeom>
        <a:ln>
          <a:solidFill>
            <a:schemeClr val="bg1"/>
          </a:solidFill>
          <a:headEnd type="triangle" w="med" len="med"/>
          <a:tailEnd type="triangle" w="med" len="med"/>
        </a:ln>
      </xdr:spPr>
      <xdr:style>
        <a:lnRef idx="3">
          <a:schemeClr val="dk1"/>
        </a:lnRef>
        <a:fillRef idx="0">
          <a:schemeClr val="dk1"/>
        </a:fillRef>
        <a:effectRef idx="2">
          <a:schemeClr val="dk1"/>
        </a:effectRef>
        <a:fontRef idx="minor">
          <a:schemeClr val="tx1"/>
        </a:fontRef>
      </xdr:style>
    </xdr:cxn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0544444444" backgroundQuery="1" createdVersion="8" refreshedVersion="8" minRefreshableVersion="3" recordCount="0" supportSubquery="1" supportAdvancedDrill="1" xr:uid="{5491F2FB-D070-42DD-BBF3-5E389A028F44}">
  <cacheSource type="external" connectionId="1"/>
  <cacheFields count="3">
    <cacheField name="[Table2].[area].[area]" caption="area" numFmtId="0" hierarchy="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2].[area].&amp;[Apo]"/>
            <x15:cachedUniqueName index="1" name="[Table2].[area].&amp;[Asokoro]"/>
            <x15:cachedUniqueName index="2" name="[Table2].[area].&amp;[Dawaki]"/>
            <x15:cachedUniqueName index="3" name="[Table2].[area].&amp;[Galadimawa]"/>
            <x15:cachedUniqueName index="4" name="[Table2].[area].&amp;[Guzape]"/>
            <x15:cachedUniqueName index="5" name="[Table2].[area].&amp;[Gwarinpa]"/>
            <x15:cachedUniqueName index="6" name="[Table2].[area].&amp;[Jabi]"/>
            <x15:cachedUniqueName index="7" name="[Table2].[area].&amp;[Karsana]"/>
            <x15:cachedUniqueName index="8" name="[Table2].[area].&amp;[Katampe]"/>
            <x15:cachedUniqueName index="9" name="[Table2].[area].&amp;[Kubwa]"/>
            <x15:cachedUniqueName index="10" name="[Table2].[area].&amp;[Life-Camp]"/>
            <x15:cachedUniqueName index="11" name="[Table2].[area].&amp;[Lokogoma]"/>
            <x15:cachedUniqueName index="12" name="[Table2].[area].&amp;[Lugbe]"/>
            <x15:cachedUniqueName index="13" name="[Table2].[area].&amp;[Maitama]"/>
            <x15:cachedUniqueName index="14" name="[Table2].[area].&amp;[Utako]"/>
            <x15:cachedUniqueName index="15" name="[Table2].[area].&amp;[Wuse-2]"/>
          </x15:cachedUniqueNames>
        </ext>
      </extLst>
    </cacheField>
    <cacheField name="[Measures].[Count of price_ngn 2]" caption="Count of price_ngn 2" numFmtId="0" hierarchy="33" level="32767"/>
    <cacheField name="[Table2].[Price Tier].[Price Tier]" caption="Price Tier" numFmtId="0" hierarchy="4" level="1">
      <sharedItems count="4">
        <s v="₦15M to below ₦40M"/>
        <s v="₦40M and above"/>
        <s v="₦5M to below ₦15M"/>
        <s v="Below ₦5M"/>
      </sharedItems>
      <extLst>
        <ext xmlns:x15="http://schemas.microsoft.com/office/spreadsheetml/2010/11/main" uri="{4F2E5C28-24EA-4eb8-9CBF-B6C8F9C3D259}">
          <x15:cachedUniqueNames>
            <x15:cachedUniqueName index="0" name="[Table2].[Price Tier].&amp;[₦15M to below ₦40M]"/>
            <x15:cachedUniqueName index="1" name="[Table2].[Price Tier].&amp;[₦40M and above]"/>
            <x15:cachedUniqueName index="2" name="[Table2].[Price Tier].&amp;[₦5M to below ₦15M]"/>
            <x15:cachedUniqueName index="3" name="[Table2].[Price Tier].&amp;[Below ₦5M]"/>
          </x15:cachedUniqueNames>
        </ext>
      </extLst>
    </cacheField>
  </cacheFields>
  <cacheHierarchies count="39">
    <cacheHierarchy uniqueName="[Range].[Wuse-2]" caption="Wuse-2" attribute="1" defaultMemberUniqueName="[Range].[Wuse-2].[All]" allUniqueName="[Range].[Wuse-2].[All]" dimensionUniqueName="[Range]" displayFolder="" count="2" memberValueDatatype="130" unbalanced="0"/>
    <cacheHierarchy uniqueName="[Range].[$246,000,000.00]" caption="$246,000,000.00" attribute="1" defaultMemberUniqueName="[Range].[$246,000,000.00].[All]" allUniqueName="[Range].[$246,000,000.00].[All]" dimensionUniqueName="[Range]" displayFolder="" count="2" memberValueDatatype="20" unbalanced="0"/>
    <cacheHierarchy uniqueName="[Table2].[title]" caption="title" attribute="1" defaultMemberUniqueName="[Table2].[title].[All]" allUniqueName="[Table2].[title].[All]" dimensionUniqueName="[Table2]" displayFolder="" count="2" memberValueDatatype="130" unbalanced="0"/>
    <cacheHierarchy uniqueName="[Table2].[price_ngn]" caption="price_ngn" attribute="1" defaultMemberUniqueName="[Table2].[price_ngn].[All]" allUniqueName="[Table2].[price_ngn].[All]" dimensionUniqueName="[Table2]" displayFolder="" count="2" memberValueDatatype="20" unbalanced="0"/>
    <cacheHierarchy uniqueName="[Table2].[Price Tier]" caption="Price Tier" attribute="1" defaultMemberUniqueName="[Table2].[Price Tier].[All]" allUniqueName="[Table2].[Price Tier].[All]" dimensionUniqueName="[Table2]" displayFolder="" count="2" memberValueDatatype="130" unbalanced="0">
      <fieldsUsage count="2">
        <fieldUsage x="-1"/>
        <fieldUsage x="2"/>
      </fieldsUsage>
    </cacheHierarchy>
    <cacheHierarchy uniqueName="[Table2].[listing_type]" caption="listing_type" attribute="1" defaultMemberUniqueName="[Table2].[listing_type].[All]" allUniqueName="[Table2].[listing_type].[All]" dimensionUniqueName="[Table2]" displayFolder="" count="2" memberValueDatatype="130" unbalanced="0"/>
    <cacheHierarchy uniqueName="[Table2].[area]" caption="area" attribute="1" defaultMemberUniqueName="[Table2].[area].[All]" allUniqueName="[Table2].[area].[All]" dimensionUniqueName="[Table2]" displayFolder="" count="2" memberValueDatatype="130" unbalanced="0">
      <fieldsUsage count="2">
        <fieldUsage x="-1"/>
        <fieldUsage x="0"/>
      </fieldsUsage>
    </cacheHierarchy>
    <cacheHierarchy uniqueName="[Table2].[address]" caption="address" attribute="1" defaultMemberUniqueName="[Table2].[address].[All]" allUniqueName="[Table2].[address].[All]" dimensionUniqueName="[Table2]" displayFolder="" count="2" memberValueDatatype="130" unbalanced="0"/>
    <cacheHierarchy uniqueName="[Table2].[bedrooms]" caption="bedrooms" attribute="1" defaultMemberUniqueName="[Table2].[bedrooms].[All]" allUniqueName="[Table2].[bedrooms].[All]" dimensionUniqueName="[Table2]" displayFolder="" count="2" memberValueDatatype="20" unbalanced="0"/>
    <cacheHierarchy uniqueName="[Table2].[bathrooms]" caption="bathrooms" attribute="1" defaultMemberUniqueName="[Table2].[bathrooms].[All]" allUniqueName="[Table2].[bathrooms].[All]" dimensionUniqueName="[Table2]" displayFolder="" count="2" memberValueDatatype="20" unbalanced="0"/>
    <cacheHierarchy uniqueName="[Table2].[toilets]" caption="toilets" attribute="1" defaultMemberUniqueName="[Table2].[toilets].[All]" allUniqueName="[Table2].[toilets].[All]" dimensionUniqueName="[Table2]" displayFolder="" count="2" memberValueDatatype="20" unbalanced="0"/>
    <cacheHierarchy uniqueName="[Table2].[property_type]" caption="property_type" attribute="1" defaultMemberUniqueName="[Table2].[property_type].[All]" allUniqueName="[Table2].[property_type].[All]" dimensionUniqueName="[Table2]" displayFolder="" count="2" memberValueDatatype="130" unbalanced="0"/>
    <cacheHierarchy uniqueName="[Table3].[title]" caption="title" attribute="1" defaultMemberUniqueName="[Table3].[title].[All]" allUniqueName="[Table3].[title].[All]" dimensionUniqueName="[Table3]" displayFolder="" count="2" memberValueDatatype="130" unbalanced="0"/>
    <cacheHierarchy uniqueName="[Table3].[price_ngn]" caption="price_ngn" attribute="1" defaultMemberUniqueName="[Table3].[price_ngn].[All]" allUniqueName="[Table3].[price_ngn].[All]" dimensionUniqueName="[Table3]" displayFolder="" count="2" memberValueDatatype="5" unbalanced="0"/>
    <cacheHierarchy uniqueName="[Table3].[Price Tier]" caption="Price Tier" attribute="1" defaultMemberUniqueName="[Table3].[Price Tier].[All]" allUniqueName="[Table3].[Price Tier].[All]" dimensionUniqueName="[Table3]" displayFolder="" count="2" memberValueDatatype="130" unbalanced="0"/>
    <cacheHierarchy uniqueName="[Table3].[listing_type]" caption="listing_type" attribute="1" defaultMemberUniqueName="[Table3].[listing_type].[All]" allUniqueName="[Table3].[listing_type].[All]" dimensionUniqueName="[Table3]" displayFolder="" count="2" memberValueDatatype="130" unbalanced="0"/>
    <cacheHierarchy uniqueName="[Table3].[area]" caption="area" attribute="1" defaultMemberUniqueName="[Table3].[area].[All]" allUniqueName="[Table3].[area].[All]" dimensionUniqueName="[Table3]" displayFolder="" count="2" memberValueDatatype="130" unbalanced="0"/>
    <cacheHierarchy uniqueName="[Table3].[address]" caption="address" attribute="1" defaultMemberUniqueName="[Table3].[address].[All]" allUniqueName="[Table3].[address].[All]" dimensionUniqueName="[Table3]" displayFolder="" count="2" memberValueDatatype="130" unbalanced="0"/>
    <cacheHierarchy uniqueName="[Table3].[bedrooms]" caption="bedrooms" attribute="1" defaultMemberUniqueName="[Table3].[bedrooms].[All]" allUniqueName="[Table3].[bedrooms].[All]" dimensionUniqueName="[Table3]" displayFolder="" count="2" memberValueDatatype="20" unbalanced="0"/>
    <cacheHierarchy uniqueName="[Table3].[bathrooms]" caption="bathrooms" attribute="1" defaultMemberUniqueName="[Table3].[bathrooms].[All]" allUniqueName="[Table3].[bathrooms].[All]" dimensionUniqueName="[Table3]" displayFolder="" count="2" memberValueDatatype="20" unbalanced="0"/>
    <cacheHierarchy uniqueName="[Table3].[toilets]" caption="toilets" attribute="1" defaultMemberUniqueName="[Table3].[toilets].[All]" allUniqueName="[Table3].[toilets].[All]" dimensionUniqueName="[Table3]" displayFolder="" count="2" memberValueDatatype="20" unbalanced="0"/>
    <cacheHierarchy uniqueName="[Table3].[property_type]" caption="property_type" attribute="1" defaultMemberUniqueName="[Table3].[property_type].[All]" allUniqueName="[Table3].[property_type].[All]" dimensionUniqueName="[Table3]" displayFolder="" count="2"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oneField="1" hidden="1">
      <fieldsUsage count="1">
        <fieldUsage x="1"/>
      </fieldsUsage>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0544791667" backgroundQuery="1" createdVersion="8" refreshedVersion="8" minRefreshableVersion="3" recordCount="0" supportSubquery="1" supportAdvancedDrill="1" xr:uid="{F41540B5-AB28-4DA5-90AA-4095D5926318}">
  <cacheSource type="external" connectionId="1"/>
  <cacheFields count="5">
    <cacheField name="[Table2].[area].[area]" caption="area" numFmtId="0" hierarchy="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2].[area].&amp;[Apo]"/>
            <x15:cachedUniqueName index="1" name="[Table2].[area].&amp;[Asokoro]"/>
            <x15:cachedUniqueName index="2" name="[Table2].[area].&amp;[Dawaki]"/>
            <x15:cachedUniqueName index="3" name="[Table2].[area].&amp;[Galadimawa]"/>
            <x15:cachedUniqueName index="4" name="[Table2].[area].&amp;[Guzape]"/>
            <x15:cachedUniqueName index="5" name="[Table2].[area].&amp;[Gwarinpa]"/>
            <x15:cachedUniqueName index="6" name="[Table2].[area].&amp;[Jabi]"/>
            <x15:cachedUniqueName index="7" name="[Table2].[area].&amp;[Karsana]"/>
            <x15:cachedUniqueName index="8" name="[Table2].[area].&amp;[Katampe]"/>
            <x15:cachedUniqueName index="9" name="[Table2].[area].&amp;[Kubwa]"/>
            <x15:cachedUniqueName index="10" name="[Table2].[area].&amp;[Life-Camp]"/>
            <x15:cachedUniqueName index="11" name="[Table2].[area].&amp;[Lokogoma]"/>
            <x15:cachedUniqueName index="12" name="[Table2].[area].&amp;[Lugbe]"/>
            <x15:cachedUniqueName index="13" name="[Table2].[area].&amp;[Maitama]"/>
            <x15:cachedUniqueName index="14" name="[Table2].[area].&amp;[Utako]"/>
            <x15:cachedUniqueName index="15" name="[Table2].[area].&amp;[Wuse-2]"/>
          </x15:cachedUniqueNames>
        </ext>
      </extLst>
    </cacheField>
    <cacheField name="[Table2].[listing_type].[listing_type]" caption="listing_type" numFmtId="0" hierarchy="5" level="1">
      <sharedItems count="1">
        <s v="rent"/>
      </sharedItems>
      <extLst>
        <ext xmlns:x15="http://schemas.microsoft.com/office/spreadsheetml/2010/11/main" uri="{4F2E5C28-24EA-4eb8-9CBF-B6C8F9C3D259}">
          <x15:cachedUniqueNames>
            <x15:cachedUniqueName index="0" name="[Table2].[listing_type].&amp;[rent]"/>
          </x15:cachedUniqueNames>
        </ext>
      </extLst>
    </cacheField>
    <cacheField name="[Measures].[Max of price_ngn]" caption="Max of price_ngn" numFmtId="0" hierarchy="34" level="32767"/>
    <cacheField name="[Measures].[Min of price_ngn]" caption="Min of price_ngn" numFmtId="0" hierarchy="35" level="32767"/>
    <cacheField name="[Table2].[Price Tier].[Price Tier]" caption="Price Tier" numFmtId="0" hierarchy="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2" memberValueDatatype="130" unbalanced="0">
      <fieldsUsage count="2">
        <fieldUsage x="-1"/>
        <fieldUsage x="4"/>
      </fieldsUsage>
    </cacheHierarchy>
    <cacheHierarchy uniqueName="[Table2].[listing_type]" caption="listing_type" attribute="1" defaultMemberUniqueName="[Table2].[listing_type].[All]" allUniqueName="[Table2].[listing_type].[All]" dimensionUniqueName="[Table2]" displayFolder="" count="2" memberValueDatatype="130" unbalanced="0">
      <fieldsUsage count="2">
        <fieldUsage x="-1"/>
        <fieldUsage x="1"/>
      </fieldsUsage>
    </cacheHierarchy>
    <cacheHierarchy uniqueName="[Table2].[area]" caption="area" attribute="1" defaultMemberUniqueName="[Table2].[area].[All]" allUniqueName="[Table2].[area].[All]" dimensionUniqueName="[Table2]" displayFolder="" count="2" memberValueDatatype="130" unbalanced="0">
      <fieldsUsage count="2">
        <fieldUsage x="-1"/>
        <fieldUsage x="0"/>
      </fieldsUsage>
    </cacheHierarchy>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0" memberValueDatatype="130" unbalanced="0"/>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0"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oneField="1" hidden="1">
      <fieldsUsage count="1">
        <fieldUsage x="2"/>
      </fieldsUsage>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oneField="1" hidden="1">
      <fieldsUsage count="1">
        <fieldUsage x="3"/>
      </fieldsUsage>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0545254629" backgroundQuery="1" createdVersion="8" refreshedVersion="8" minRefreshableVersion="3" recordCount="0" supportSubquery="1" supportAdvancedDrill="1" xr:uid="{B233AA33-964A-4F06-9DBD-AD823E1B4996}">
  <cacheSource type="external" connectionId="1"/>
  <cacheFields count="4">
    <cacheField name="[Table2].[area].[area]" caption="area" numFmtId="0" hierarchy="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2].[area].&amp;[Apo]"/>
            <x15:cachedUniqueName index="1" name="[Table2].[area].&amp;[Asokoro]"/>
            <x15:cachedUniqueName index="2" name="[Table2].[area].&amp;[Dawaki]"/>
            <x15:cachedUniqueName index="3" name="[Table2].[area].&amp;[Galadimawa]"/>
            <x15:cachedUniqueName index="4" name="[Table2].[area].&amp;[Guzape]"/>
            <x15:cachedUniqueName index="5" name="[Table2].[area].&amp;[Gwarinpa]"/>
            <x15:cachedUniqueName index="6" name="[Table2].[area].&amp;[Jabi]"/>
            <x15:cachedUniqueName index="7" name="[Table2].[area].&amp;[Karsana]"/>
            <x15:cachedUniqueName index="8" name="[Table2].[area].&amp;[Katampe]"/>
            <x15:cachedUniqueName index="9" name="[Table2].[area].&amp;[Kubwa]"/>
            <x15:cachedUniqueName index="10" name="[Table2].[area].&amp;[Life-Camp]"/>
            <x15:cachedUniqueName index="11" name="[Table2].[area].&amp;[Lokogoma]"/>
            <x15:cachedUniqueName index="12" name="[Table2].[area].&amp;[Lugbe]"/>
            <x15:cachedUniqueName index="13" name="[Table2].[area].&amp;[Maitama]"/>
            <x15:cachedUniqueName index="14" name="[Table2].[area].&amp;[Utako]"/>
            <x15:cachedUniqueName index="15" name="[Table2].[area].&amp;[Wuse-2]"/>
          </x15:cachedUniqueNames>
        </ext>
      </extLst>
    </cacheField>
    <cacheField name="[Table2].[listing_type].[listing_type]" caption="listing_type" numFmtId="0" hierarchy="5" level="1">
      <sharedItems count="1">
        <s v="rent"/>
      </sharedItems>
      <extLst>
        <ext xmlns:x15="http://schemas.microsoft.com/office/spreadsheetml/2010/11/main" uri="{4F2E5C28-24EA-4eb8-9CBF-B6C8F9C3D259}">
          <x15:cachedUniqueNames>
            <x15:cachedUniqueName index="0" name="[Table2].[listing_type].&amp;[rent]"/>
          </x15:cachedUniqueNames>
        </ext>
      </extLst>
    </cacheField>
    <cacheField name="[Measures].[Count of price_ngn 2]" caption="Count of price_ngn 2" numFmtId="0" hierarchy="33" level="32767"/>
    <cacheField name="[Table2].[Price Tier].[Price Tier]" caption="Price Tier" numFmtId="0" hierarchy="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2" memberValueDatatype="130" unbalanced="0">
      <fieldsUsage count="2">
        <fieldUsage x="-1"/>
        <fieldUsage x="3"/>
      </fieldsUsage>
    </cacheHierarchy>
    <cacheHierarchy uniqueName="[Table2].[listing_type]" caption="listing_type" attribute="1" defaultMemberUniqueName="[Table2].[listing_type].[All]" allUniqueName="[Table2].[listing_type].[All]" dimensionUniqueName="[Table2]" displayFolder="" count="2" memberValueDatatype="130" unbalanced="0">
      <fieldsUsage count="2">
        <fieldUsage x="-1"/>
        <fieldUsage x="1"/>
      </fieldsUsage>
    </cacheHierarchy>
    <cacheHierarchy uniqueName="[Table2].[area]" caption="area" attribute="1" defaultMemberUniqueName="[Table2].[area].[All]" allUniqueName="[Table2].[area].[All]" dimensionUniqueName="[Table2]" displayFolder="" count="2" memberValueDatatype="130" unbalanced="0">
      <fieldsUsage count="2">
        <fieldUsage x="-1"/>
        <fieldUsage x="0"/>
      </fieldsUsage>
    </cacheHierarchy>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0" memberValueDatatype="130" unbalanced="0"/>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0"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oneField="1" hidden="1">
      <fieldsUsage count="1">
        <fieldUsage x="2"/>
      </fieldsUsage>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0545601852" backgroundQuery="1" createdVersion="8" refreshedVersion="8" minRefreshableVersion="3" recordCount="0" supportSubquery="1" supportAdvancedDrill="1" xr:uid="{F6DA2809-1B61-460F-A099-BD501000D0C4}">
  <cacheSource type="external" connectionId="1"/>
  <cacheFields count="5">
    <cacheField name="[Table2].[area].[area]" caption="area" numFmtId="0" hierarchy="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2].[area].&amp;[Apo]"/>
            <x15:cachedUniqueName index="1" name="[Table2].[area].&amp;[Asokoro]"/>
            <x15:cachedUniqueName index="2" name="[Table2].[area].&amp;[Dawaki]"/>
            <x15:cachedUniqueName index="3" name="[Table2].[area].&amp;[Galadimawa]"/>
            <x15:cachedUniqueName index="4" name="[Table2].[area].&amp;[Guzape]"/>
            <x15:cachedUniqueName index="5" name="[Table2].[area].&amp;[Gwarinpa]"/>
            <x15:cachedUniqueName index="6" name="[Table2].[area].&amp;[Jabi]"/>
            <x15:cachedUniqueName index="7" name="[Table2].[area].&amp;[Karsana]"/>
            <x15:cachedUniqueName index="8" name="[Table2].[area].&amp;[Katampe]"/>
            <x15:cachedUniqueName index="9" name="[Table2].[area].&amp;[Kubwa]"/>
            <x15:cachedUniqueName index="10" name="[Table2].[area].&amp;[Life-Camp]"/>
            <x15:cachedUniqueName index="11" name="[Table2].[area].&amp;[Lokogoma]"/>
            <x15:cachedUniqueName index="12" name="[Table2].[area].&amp;[Lugbe]"/>
            <x15:cachedUniqueName index="13" name="[Table2].[area].&amp;[Maitama]"/>
            <x15:cachedUniqueName index="14" name="[Table2].[area].&amp;[Utako]"/>
            <x15:cachedUniqueName index="15" name="[Table2].[area].&amp;[Wuse-2]"/>
          </x15:cachedUniqueNames>
        </ext>
      </extLst>
    </cacheField>
    <cacheField name="[Table2].[listing_type].[listing_type]" caption="listing_type" numFmtId="0" hierarchy="5" level="1">
      <sharedItems count="1">
        <s v="rent"/>
      </sharedItems>
      <extLst>
        <ext xmlns:x15="http://schemas.microsoft.com/office/spreadsheetml/2010/11/main" uri="{4F2E5C28-24EA-4eb8-9CBF-B6C8F9C3D259}">
          <x15:cachedUniqueNames>
            <x15:cachedUniqueName index="0" name="[Table2].[listing_type].&amp;[rent]"/>
          </x15:cachedUniqueNames>
        </ext>
      </extLst>
    </cacheField>
    <cacheField name="[Measures].[Count of price_ngn 2]" caption="Count of price_ngn 2" numFmtId="0" hierarchy="33" level="32767"/>
    <cacheField name="[Measures].[Median Rent Price]" caption="Median Rent Price" numFmtId="0" hierarchy="23" level="32767"/>
    <cacheField name="[Table2].[Price Tier].[Price Tier]" caption="Price Tier" numFmtId="0" hierarchy="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2" memberValueDatatype="130" unbalanced="0">
      <fieldsUsage count="2">
        <fieldUsage x="-1"/>
        <fieldUsage x="4"/>
      </fieldsUsage>
    </cacheHierarchy>
    <cacheHierarchy uniqueName="[Table2].[listing_type]" caption="listing_type" attribute="1" defaultMemberUniqueName="[Table2].[listing_type].[All]" allUniqueName="[Table2].[listing_type].[All]" dimensionUniqueName="[Table2]" displayFolder="" count="2" memberValueDatatype="130" unbalanced="0">
      <fieldsUsage count="2">
        <fieldUsage x="-1"/>
        <fieldUsage x="1"/>
      </fieldsUsage>
    </cacheHierarchy>
    <cacheHierarchy uniqueName="[Table2].[area]" caption="area" attribute="1" defaultMemberUniqueName="[Table2].[area].[All]" allUniqueName="[Table2].[area].[All]" dimensionUniqueName="[Table2]" displayFolder="" count="2" memberValueDatatype="130" unbalanced="0">
      <fieldsUsage count="2">
        <fieldUsage x="-1"/>
        <fieldUsage x="0"/>
      </fieldsUsage>
    </cacheHierarchy>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0" memberValueDatatype="130" unbalanced="0"/>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0"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oneField="1">
      <fieldsUsage count="1">
        <fieldUsage x="3"/>
      </fieldsUsage>
    </cacheHierarchy>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oneField="1" hidden="1">
      <fieldsUsage count="1">
        <fieldUsage x="2"/>
      </fieldsUsage>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0545949076" backgroundQuery="1" createdVersion="8" refreshedVersion="8" minRefreshableVersion="3" recordCount="0" supportSubquery="1" supportAdvancedDrill="1" xr:uid="{DABBBF2F-97E7-435F-BFF3-996C73F8DB88}">
  <cacheSource type="external" connectionId="1"/>
  <cacheFields count="3">
    <cacheField name="[Table2].[area].[area]" caption="area" numFmtId="0" hierarchy="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2].[area].&amp;[Apo]"/>
            <x15:cachedUniqueName index="1" name="[Table2].[area].&amp;[Asokoro]"/>
            <x15:cachedUniqueName index="2" name="[Table2].[area].&amp;[Dawaki]"/>
            <x15:cachedUniqueName index="3" name="[Table2].[area].&amp;[Galadimawa]"/>
            <x15:cachedUniqueName index="4" name="[Table2].[area].&amp;[Guzape]"/>
            <x15:cachedUniqueName index="5" name="[Table2].[area].&amp;[Gwarinpa]"/>
            <x15:cachedUniqueName index="6" name="[Table2].[area].&amp;[Jabi]"/>
            <x15:cachedUniqueName index="7" name="[Table2].[area].&amp;[Karsana]"/>
            <x15:cachedUniqueName index="8" name="[Table2].[area].&amp;[Katampe]"/>
            <x15:cachedUniqueName index="9" name="[Table2].[area].&amp;[Kubwa]"/>
            <x15:cachedUniqueName index="10" name="[Table2].[area].&amp;[Life-Camp]"/>
            <x15:cachedUniqueName index="11" name="[Table2].[area].&amp;[Lokogoma]"/>
            <x15:cachedUniqueName index="12" name="[Table2].[area].&amp;[Lugbe]"/>
            <x15:cachedUniqueName index="13" name="[Table2].[area].&amp;[Maitama]"/>
            <x15:cachedUniqueName index="14" name="[Table2].[area].&amp;[Utako]"/>
            <x15:cachedUniqueName index="15" name="[Table2].[area].&amp;[Wuse-2]"/>
          </x15:cachedUniqueNames>
        </ext>
      </extLst>
    </cacheField>
    <cacheField name="[Measures].[Median Rent Price]" caption="Median Rent Price" numFmtId="0" hierarchy="23" level="32767"/>
    <cacheField name="[Table2].[Price Tier].[Price Tier]" caption="Price Tier" numFmtId="0" hierarchy="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2" memberValueDatatype="130" unbalanced="0">
      <fieldsUsage count="2">
        <fieldUsage x="-1"/>
        <fieldUsage x="2"/>
      </fieldsUsage>
    </cacheHierarchy>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2" memberValueDatatype="130" unbalanced="0">
      <fieldsUsage count="2">
        <fieldUsage x="-1"/>
        <fieldUsage x="0"/>
      </fieldsUsage>
    </cacheHierarchy>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0" memberValueDatatype="130" unbalanced="0"/>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0"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oneField="1">
      <fieldsUsage count="1">
        <fieldUsage x="1"/>
      </fieldsUsage>
    </cacheHierarchy>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0546412038" backgroundQuery="1" createdVersion="8" refreshedVersion="8" minRefreshableVersion="3" recordCount="0" supportSubquery="1" supportAdvancedDrill="1" xr:uid="{0029216D-7422-4303-AEEA-60804579261C}">
  <cacheSource type="external" connectionId="1"/>
  <cacheFields count="4">
    <cacheField name="[Table2].[area].[area]" caption="area" numFmtId="0" hierarchy="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2].[area].&amp;[Apo]"/>
            <x15:cachedUniqueName index="1" name="[Table2].[area].&amp;[Asokoro]"/>
            <x15:cachedUniqueName index="2" name="[Table2].[area].&amp;[Dawaki]"/>
            <x15:cachedUniqueName index="3" name="[Table2].[area].&amp;[Galadimawa]"/>
            <x15:cachedUniqueName index="4" name="[Table2].[area].&amp;[Guzape]"/>
            <x15:cachedUniqueName index="5" name="[Table2].[area].&amp;[Gwarinpa]"/>
            <x15:cachedUniqueName index="6" name="[Table2].[area].&amp;[Jabi]"/>
            <x15:cachedUniqueName index="7" name="[Table2].[area].&amp;[Karsana]"/>
            <x15:cachedUniqueName index="8" name="[Table2].[area].&amp;[Katampe]"/>
            <x15:cachedUniqueName index="9" name="[Table2].[area].&amp;[Kubwa]"/>
            <x15:cachedUniqueName index="10" name="[Table2].[area].&amp;[Life-Camp]"/>
            <x15:cachedUniqueName index="11" name="[Table2].[area].&amp;[Lokogoma]"/>
            <x15:cachedUniqueName index="12" name="[Table2].[area].&amp;[Lugbe]"/>
            <x15:cachedUniqueName index="13" name="[Table2].[area].&amp;[Maitama]"/>
            <x15:cachedUniqueName index="14" name="[Table2].[area].&amp;[Utako]"/>
            <x15:cachedUniqueName index="15" name="[Table2].[area].&amp;[Wuse-2]"/>
          </x15:cachedUniqueNames>
        </ext>
      </extLst>
    </cacheField>
    <cacheField name="[Measures].[Median Rent Price]" caption="Median Rent Price" numFmtId="0" hierarchy="23" level="32767"/>
    <cacheField name="[Table2].[bedrooms].[bedrooms]" caption="bedrooms" numFmtId="0" hierarchy="8" level="1">
      <sharedItems containsSemiMixedTypes="0" containsString="0" containsNumber="1" containsInteger="1" minValue="1" maxValue="10" count="8">
        <n v="1"/>
        <n v="2"/>
        <n v="3"/>
        <n v="4"/>
        <n v="5"/>
        <n v="6"/>
        <n v="7"/>
        <n v="10"/>
      </sharedItems>
      <extLst>
        <ext xmlns:x15="http://schemas.microsoft.com/office/spreadsheetml/2010/11/main" uri="{4F2E5C28-24EA-4eb8-9CBF-B6C8F9C3D259}">
          <x15:cachedUniqueNames>
            <x15:cachedUniqueName index="0" name="[Table2].[bedrooms].&amp;[1]"/>
            <x15:cachedUniqueName index="1" name="[Table2].[bedrooms].&amp;[2]"/>
            <x15:cachedUniqueName index="2" name="[Table2].[bedrooms].&amp;[3]"/>
            <x15:cachedUniqueName index="3" name="[Table2].[bedrooms].&amp;[4]"/>
            <x15:cachedUniqueName index="4" name="[Table2].[bedrooms].&amp;[5]"/>
            <x15:cachedUniqueName index="5" name="[Table2].[bedrooms].&amp;[6]"/>
            <x15:cachedUniqueName index="6" name="[Table2].[bedrooms].&amp;[7]"/>
            <x15:cachedUniqueName index="7" name="[Table2].[bedrooms].&amp;[10]"/>
          </x15:cachedUniqueNames>
        </ext>
      </extLst>
    </cacheField>
    <cacheField name="[Table2].[Price Tier].[Price Tier]" caption="Price Tier" numFmtId="0" hierarchy="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2" memberValueDatatype="130" unbalanced="0">
      <fieldsUsage count="2">
        <fieldUsage x="-1"/>
        <fieldUsage x="3"/>
      </fieldsUsage>
    </cacheHierarchy>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2" memberValueDatatype="130" unbalanced="0">
      <fieldsUsage count="2">
        <fieldUsage x="-1"/>
        <fieldUsage x="0"/>
      </fieldsUsage>
    </cacheHierarchy>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2" memberValueDatatype="20" unbalanced="0">
      <fieldsUsage count="2">
        <fieldUsage x="-1"/>
        <fieldUsage x="2"/>
      </fieldsUsage>
    </cacheHierarchy>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0" memberValueDatatype="130" unbalanced="0"/>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0"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oneField="1">
      <fieldsUsage count="1">
        <fieldUsage x="1"/>
      </fieldsUsage>
    </cacheHierarchy>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0546759261" backgroundQuery="1" createdVersion="8" refreshedVersion="8" minRefreshableVersion="3" recordCount="0" supportSubquery="1" supportAdvancedDrill="1" xr:uid="{C0F90000-7F7F-46A5-8FDA-7ABFBEF0C9EF}">
  <cacheSource type="external" connectionId="1"/>
  <cacheFields count="4">
    <cacheField name="[Table2].[area].[area]" caption="area" numFmtId="0" hierarchy="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2].[area].&amp;[Apo]"/>
            <x15:cachedUniqueName index="1" name="[Table2].[area].&amp;[Asokoro]"/>
            <x15:cachedUniqueName index="2" name="[Table2].[area].&amp;[Dawaki]"/>
            <x15:cachedUniqueName index="3" name="[Table2].[area].&amp;[Galadimawa]"/>
            <x15:cachedUniqueName index="4" name="[Table2].[area].&amp;[Guzape]"/>
            <x15:cachedUniqueName index="5" name="[Table2].[area].&amp;[Gwarinpa]"/>
            <x15:cachedUniqueName index="6" name="[Table2].[area].&amp;[Jabi]"/>
            <x15:cachedUniqueName index="7" name="[Table2].[area].&amp;[Karsana]"/>
            <x15:cachedUniqueName index="8" name="[Table2].[area].&amp;[Katampe]"/>
            <x15:cachedUniqueName index="9" name="[Table2].[area].&amp;[Kubwa]"/>
            <x15:cachedUniqueName index="10" name="[Table2].[area].&amp;[Life-Camp]"/>
            <x15:cachedUniqueName index="11" name="[Table2].[area].&amp;[Lokogoma]"/>
            <x15:cachedUniqueName index="12" name="[Table2].[area].&amp;[Lugbe]"/>
            <x15:cachedUniqueName index="13" name="[Table2].[area].&amp;[Maitama]"/>
            <x15:cachedUniqueName index="14" name="[Table2].[area].&amp;[Utako]"/>
            <x15:cachedUniqueName index="15" name="[Table2].[area].&amp;[Wuse-2]"/>
          </x15:cachedUniqueNames>
        </ext>
      </extLst>
    </cacheField>
    <cacheField name="[Measures].[Median Rent Price]" caption="Median Rent Price" numFmtId="0" hierarchy="23" level="32767"/>
    <cacheField name="[Table2].[property_type].[property_type]" caption="property_type" numFmtId="0" hierarchy="11" level="1">
      <sharedItems count="6">
        <s v="Bungalow"/>
        <s v="Detached Duplex"/>
        <s v="Flat/Apartment"/>
        <s v="House"/>
        <s v="Semi-Detached Duplex"/>
        <s v="Terraced Duplex"/>
      </sharedItems>
      <extLst>
        <ext xmlns:x15="http://schemas.microsoft.com/office/spreadsheetml/2010/11/main" uri="{4F2E5C28-24EA-4eb8-9CBF-B6C8F9C3D259}">
          <x15:cachedUniqueNames>
            <x15:cachedUniqueName index="0" name="[Table2].[property_type].&amp;[Bungalow]"/>
            <x15:cachedUniqueName index="1" name="[Table2].[property_type].&amp;[Detached Duplex]"/>
            <x15:cachedUniqueName index="2" name="[Table2].[property_type].&amp;[Flat/Apartment]"/>
            <x15:cachedUniqueName index="3" name="[Table2].[property_type].&amp;[House]"/>
            <x15:cachedUniqueName index="4" name="[Table2].[property_type].&amp;[Semi-Detached Duplex]"/>
            <x15:cachedUniqueName index="5" name="[Table2].[property_type].&amp;[Terraced Duplex]"/>
          </x15:cachedUniqueNames>
        </ext>
      </extLst>
    </cacheField>
    <cacheField name="[Table2].[Price Tier].[Price Tier]" caption="Price Tier" numFmtId="0" hierarchy="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2" memberValueDatatype="130" unbalanced="0">
      <fieldsUsage count="2">
        <fieldUsage x="-1"/>
        <fieldUsage x="3"/>
      </fieldsUsage>
    </cacheHierarchy>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2" memberValueDatatype="130" unbalanced="0">
      <fieldsUsage count="2">
        <fieldUsage x="-1"/>
        <fieldUsage x="0"/>
      </fieldsUsage>
    </cacheHierarchy>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2" memberValueDatatype="130" unbalanced="0">
      <fieldsUsage count="2">
        <fieldUsage x="-1"/>
        <fieldUsage x="2"/>
      </fieldsUsage>
    </cacheHierarchy>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0" memberValueDatatype="130" unbalanced="0"/>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0"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oneField="1">
      <fieldsUsage count="1">
        <fieldUsage x="1"/>
      </fieldsUsage>
    </cacheHierarchy>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0547222223" backgroundQuery="1" createdVersion="8" refreshedVersion="8" minRefreshableVersion="3" recordCount="0" supportSubquery="1" supportAdvancedDrill="1" xr:uid="{A9314C78-883E-4FFE-8A12-75CC570DD328}">
  <cacheSource type="external" connectionId="1"/>
  <cacheFields count="3">
    <cacheField name="[Table2].[area].[area]" caption="area" numFmtId="0" hierarchy="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2].[area].&amp;[Apo]"/>
            <x15:cachedUniqueName index="1" name="[Table2].[area].&amp;[Asokoro]"/>
            <x15:cachedUniqueName index="2" name="[Table2].[area].&amp;[Dawaki]"/>
            <x15:cachedUniqueName index="3" name="[Table2].[area].&amp;[Galadimawa]"/>
            <x15:cachedUniqueName index="4" name="[Table2].[area].&amp;[Guzape]"/>
            <x15:cachedUniqueName index="5" name="[Table2].[area].&amp;[Gwarinpa]"/>
            <x15:cachedUniqueName index="6" name="[Table2].[area].&amp;[Jabi]"/>
            <x15:cachedUniqueName index="7" name="[Table2].[area].&amp;[Karsana]"/>
            <x15:cachedUniqueName index="8" name="[Table2].[area].&amp;[Katampe]"/>
            <x15:cachedUniqueName index="9" name="[Table2].[area].&amp;[Kubwa]"/>
            <x15:cachedUniqueName index="10" name="[Table2].[area].&amp;[Life-Camp]"/>
            <x15:cachedUniqueName index="11" name="[Table2].[area].&amp;[Lokogoma]"/>
            <x15:cachedUniqueName index="12" name="[Table2].[area].&amp;[Lugbe]"/>
            <x15:cachedUniqueName index="13" name="[Table2].[area].&amp;[Maitama]"/>
            <x15:cachedUniqueName index="14" name="[Table2].[area].&amp;[Utako]"/>
            <x15:cachedUniqueName index="15" name="[Table2].[area].&amp;[Wuse-2]"/>
          </x15:cachedUniqueNames>
        </ext>
      </extLst>
    </cacheField>
    <cacheField name="[Measures].[Count of price_ngn 2]" caption="Count of price_ngn 2" numFmtId="0" hierarchy="33" level="32767"/>
    <cacheField name="[Table2].[Price Tier].[Price Tier]" caption="Price Tier" numFmtId="0" hierarchy="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2" memberValueDatatype="130" unbalanced="0">
      <fieldsUsage count="2">
        <fieldUsage x="-1"/>
        <fieldUsage x="2"/>
      </fieldsUsage>
    </cacheHierarchy>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2" memberValueDatatype="130" unbalanced="0">
      <fieldsUsage count="2">
        <fieldUsage x="-1"/>
        <fieldUsage x="0"/>
      </fieldsUsage>
    </cacheHierarchy>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0" memberValueDatatype="130" unbalanced="0"/>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0"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oneField="1" hidden="1">
      <fieldsUsage count="1">
        <fieldUsage x="1"/>
      </fieldsUsage>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0547800923" backgroundQuery="1" createdVersion="8" refreshedVersion="8" minRefreshableVersion="3" recordCount="0" supportSubquery="1" supportAdvancedDrill="1" xr:uid="{F998960E-5F62-48EF-A2A7-486EE38CBC85}">
  <cacheSource type="external" connectionId="1"/>
  <cacheFields count="3">
    <cacheField name="[Table2].[property_type].[property_type]" caption="property_type" numFmtId="0" hierarchy="11" level="1">
      <sharedItems count="6">
        <s v="Bungalow"/>
        <s v="Detached Duplex"/>
        <s v="Flat/Apartment"/>
        <s v="House"/>
        <s v="Semi-Detached Duplex"/>
        <s v="Terraced Duplex"/>
      </sharedItems>
      <extLst>
        <ext xmlns:x15="http://schemas.microsoft.com/office/spreadsheetml/2010/11/main" uri="{4F2E5C28-24EA-4eb8-9CBF-B6C8F9C3D259}">
          <x15:cachedUniqueNames>
            <x15:cachedUniqueName index="0" name="[Table2].[property_type].&amp;[Bungalow]"/>
            <x15:cachedUniqueName index="1" name="[Table2].[property_type].&amp;[Detached Duplex]"/>
            <x15:cachedUniqueName index="2" name="[Table2].[property_type].&amp;[Flat/Apartment]"/>
            <x15:cachedUniqueName index="3" name="[Table2].[property_type].&amp;[House]"/>
            <x15:cachedUniqueName index="4" name="[Table2].[property_type].&amp;[Semi-Detached Duplex]"/>
            <x15:cachedUniqueName index="5" name="[Table2].[property_type].&amp;[Terraced Duplex]"/>
          </x15:cachedUniqueNames>
        </ext>
      </extLst>
    </cacheField>
    <cacheField name="[Measures].[Count of price_ngn 2]" caption="Count of price_ngn 2" numFmtId="0" hierarchy="33" level="32767"/>
    <cacheField name="[Table2].[Price Tier].[Price Tier]" caption="Price Tier" numFmtId="0" hierarchy="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2" memberValueDatatype="130" unbalanced="0">
      <fieldsUsage count="2">
        <fieldUsage x="-1"/>
        <fieldUsage x="2"/>
      </fieldsUsage>
    </cacheHierarchy>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2"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2" memberValueDatatype="130" unbalanced="0">
      <fieldsUsage count="2">
        <fieldUsage x="-1"/>
        <fieldUsage x="0"/>
      </fieldsUsage>
    </cacheHierarchy>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0" memberValueDatatype="130" unbalanced="0"/>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0"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oneField="1" hidden="1">
      <fieldsUsage count="1">
        <fieldUsage x="1"/>
      </fieldsUsage>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0548263892" backgroundQuery="1" createdVersion="8" refreshedVersion="8" minRefreshableVersion="3" recordCount="0" supportSubquery="1" supportAdvancedDrill="1" xr:uid="{4256700F-5F91-4C1B-B2CF-D4644854A4E8}">
  <cacheSource type="external" connectionId="1"/>
  <cacheFields count="3">
    <cacheField name="[Table2].[area].[area]" caption="area" numFmtId="0" hierarchy="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2].[area].&amp;[Apo]"/>
            <x15:cachedUniqueName index="1" name="[Table2].[area].&amp;[Asokoro]"/>
            <x15:cachedUniqueName index="2" name="[Table2].[area].&amp;[Dawaki]"/>
            <x15:cachedUniqueName index="3" name="[Table2].[area].&amp;[Galadimawa]"/>
            <x15:cachedUniqueName index="4" name="[Table2].[area].&amp;[Guzape]"/>
            <x15:cachedUniqueName index="5" name="[Table2].[area].&amp;[Gwarinpa]"/>
            <x15:cachedUniqueName index="6" name="[Table2].[area].&amp;[Jabi]"/>
            <x15:cachedUniqueName index="7" name="[Table2].[area].&amp;[Karsana]"/>
            <x15:cachedUniqueName index="8" name="[Table2].[area].&amp;[Katampe]"/>
            <x15:cachedUniqueName index="9" name="[Table2].[area].&amp;[Kubwa]"/>
            <x15:cachedUniqueName index="10" name="[Table2].[area].&amp;[Life-Camp]"/>
            <x15:cachedUniqueName index="11" name="[Table2].[area].&amp;[Lokogoma]"/>
            <x15:cachedUniqueName index="12" name="[Table2].[area].&amp;[Lugbe]"/>
            <x15:cachedUniqueName index="13" name="[Table2].[area].&amp;[Maitama]"/>
            <x15:cachedUniqueName index="14" name="[Table2].[area].&amp;[Utako]"/>
            <x15:cachedUniqueName index="15" name="[Table2].[area].&amp;[Wuse-2]"/>
          </x15:cachedUniqueNames>
        </ext>
      </extLst>
    </cacheField>
    <cacheField name="[Measures].[Rental Price_Range]" caption="Rental Price_Range" numFmtId="0" hierarchy="24" level="32767"/>
    <cacheField name="[Table2].[Price Tier].[Price Tier]" caption="Price Tier" numFmtId="0" hierarchy="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2" memberValueDatatype="130" unbalanced="0">
      <fieldsUsage count="2">
        <fieldUsage x="-1"/>
        <fieldUsage x="2"/>
      </fieldsUsage>
    </cacheHierarchy>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2" memberValueDatatype="130" unbalanced="0">
      <fieldsUsage count="2">
        <fieldUsage x="-1"/>
        <fieldUsage x="0"/>
      </fieldsUsage>
    </cacheHierarchy>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0" memberValueDatatype="130" unbalanced="0"/>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0"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oneField="1">
      <fieldsUsage count="1">
        <fieldUsage x="1"/>
      </fieldsUsage>
    </cacheHierarchy>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2458796295" backgroundQuery="1" createdVersion="8" refreshedVersion="8" minRefreshableVersion="3" recordCount="0" supportSubquery="1" supportAdvancedDrill="1" xr:uid="{84482269-28DD-4977-B93F-DFA35610C6B9}">
  <cacheSource type="external" connectionId="1"/>
  <cacheFields count="3">
    <cacheField name="[Table3].[area].[area]" caption="area" numFmtId="0" hierarchy="1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3].[area].&amp;[Apo]"/>
            <x15:cachedUniqueName index="1" name="[Table3].[area].&amp;[Asokoro]"/>
            <x15:cachedUniqueName index="2" name="[Table3].[area].&amp;[Dawaki]"/>
            <x15:cachedUniqueName index="3" name="[Table3].[area].&amp;[Galadimawa]"/>
            <x15:cachedUniqueName index="4" name="[Table3].[area].&amp;[Guzape]"/>
            <x15:cachedUniqueName index="5" name="[Table3].[area].&amp;[Gwarinpa]"/>
            <x15:cachedUniqueName index="6" name="[Table3].[area].&amp;[Jabi]"/>
            <x15:cachedUniqueName index="7" name="[Table3].[area].&amp;[Karsana]"/>
            <x15:cachedUniqueName index="8" name="[Table3].[area].&amp;[Katampe]"/>
            <x15:cachedUniqueName index="9" name="[Table3].[area].&amp;[Kubwa]"/>
            <x15:cachedUniqueName index="10" name="[Table3].[area].&amp;[Life-Camp]"/>
            <x15:cachedUniqueName index="11" name="[Table3].[area].&amp;[Lokogoma]"/>
            <x15:cachedUniqueName index="12" name="[Table3].[area].&amp;[Lugbe]"/>
            <x15:cachedUniqueName index="13" name="[Table3].[area].&amp;[Maitama]"/>
            <x15:cachedUniqueName index="14" name="[Table3].[area].&amp;[Utako]"/>
            <x15:cachedUniqueName index="15" name="[Table3].[area].&amp;[Wuse-2]"/>
          </x15:cachedUniqueNames>
        </ext>
      </extLst>
    </cacheField>
    <cacheField name="[Measures].[Count of price_ngn]" caption="Count of price_ngn" numFmtId="0" hierarchy="31" level="32767"/>
    <cacheField name="[Table3].[Price Tier].[Price Tier]" caption="Price Tier" numFmtId="0" hierarchy="14" level="1">
      <sharedItems count="4">
        <s v="₦250M to below ₦750M"/>
        <s v="₦50M to below ₦250M"/>
        <s v="₦750M and above"/>
        <s v="Below ₦50M"/>
      </sharedItems>
      <extLst>
        <ext xmlns:x15="http://schemas.microsoft.com/office/spreadsheetml/2010/11/main" uri="{4F2E5C28-24EA-4eb8-9CBF-B6C8F9C3D259}">
          <x15:cachedUniqueNames>
            <x15:cachedUniqueName index="0" name="[Table3].[Price Tier].&amp;[₦250M to below ₦750M]"/>
            <x15:cachedUniqueName index="1" name="[Table3].[Price Tier].&amp;[₦50M to below ₦250M]"/>
            <x15:cachedUniqueName index="2" name="[Table3].[Price Tier].&amp;[₦750M and above]"/>
            <x15:cachedUniqueName index="3" name="[Table3].[Price Tier].&amp;[Below ₦50M]"/>
          </x15:cachedUniqueNames>
        </ext>
      </extLst>
    </cacheField>
  </cacheFields>
  <cacheHierarchies count="39">
    <cacheHierarchy uniqueName="[Range].[Wuse-2]" caption="Wuse-2" attribute="1" defaultMemberUniqueName="[Range].[Wuse-2].[All]" allUniqueName="[Range].[Wuse-2].[All]" dimensionUniqueName="[Range]" displayFolder="" count="2" memberValueDatatype="130" unbalanced="0"/>
    <cacheHierarchy uniqueName="[Range].[$246,000,000.00]" caption="$246,000,000.00" attribute="1" defaultMemberUniqueName="[Range].[$246,000,000.00].[All]" allUniqueName="[Range].[$246,000,000.00].[All]" dimensionUniqueName="[Range]" displayFolder="" count="2" memberValueDatatype="20" unbalanced="0"/>
    <cacheHierarchy uniqueName="[Table2].[title]" caption="title" attribute="1" defaultMemberUniqueName="[Table2].[title].[All]" allUniqueName="[Table2].[title].[All]" dimensionUniqueName="[Table2]" displayFolder="" count="2" memberValueDatatype="130" unbalanced="0"/>
    <cacheHierarchy uniqueName="[Table2].[price_ngn]" caption="price_ngn" attribute="1" defaultMemberUniqueName="[Table2].[price_ngn].[All]" allUniqueName="[Table2].[price_ngn].[All]" dimensionUniqueName="[Table2]" displayFolder="" count="2" memberValueDatatype="20" unbalanced="0"/>
    <cacheHierarchy uniqueName="[Table2].[Price Tier]" caption="Price Tier" attribute="1" defaultMemberUniqueName="[Table2].[Price Tier].[All]" allUniqueName="[Table2].[Price Tier].[All]" dimensionUniqueName="[Table2]" displayFolder="" count="2" memberValueDatatype="130" unbalanced="0"/>
    <cacheHierarchy uniqueName="[Table2].[listing_type]" caption="listing_type" attribute="1" defaultMemberUniqueName="[Table2].[listing_type].[All]" allUniqueName="[Table2].[listing_type].[All]" dimensionUniqueName="[Table2]" displayFolder="" count="2" memberValueDatatype="130" unbalanced="0"/>
    <cacheHierarchy uniqueName="[Table2].[area]" caption="area" attribute="1" defaultMemberUniqueName="[Table2].[area].[All]" allUniqueName="[Table2].[area].[All]" dimensionUniqueName="[Table2]" displayFolder="" count="2" memberValueDatatype="130" unbalanced="0"/>
    <cacheHierarchy uniqueName="[Table2].[address]" caption="address" attribute="1" defaultMemberUniqueName="[Table2].[address].[All]" allUniqueName="[Table2].[address].[All]" dimensionUniqueName="[Table2]" displayFolder="" count="2" memberValueDatatype="130" unbalanced="0"/>
    <cacheHierarchy uniqueName="[Table2].[bedrooms]" caption="bedrooms" attribute="1" defaultMemberUniqueName="[Table2].[bedrooms].[All]" allUniqueName="[Table2].[bedrooms].[All]" dimensionUniqueName="[Table2]" displayFolder="" count="2" memberValueDatatype="20" unbalanced="0"/>
    <cacheHierarchy uniqueName="[Table2].[bathrooms]" caption="bathrooms" attribute="1" defaultMemberUniqueName="[Table2].[bathrooms].[All]" allUniqueName="[Table2].[bathrooms].[All]" dimensionUniqueName="[Table2]" displayFolder="" count="2" memberValueDatatype="20" unbalanced="0"/>
    <cacheHierarchy uniqueName="[Table2].[toilets]" caption="toilets" attribute="1" defaultMemberUniqueName="[Table2].[toilets].[All]" allUniqueName="[Table2].[toilets].[All]" dimensionUniqueName="[Table2]" displayFolder="" count="2" memberValueDatatype="20" unbalanced="0"/>
    <cacheHierarchy uniqueName="[Table2].[property_type]" caption="property_type" attribute="1" defaultMemberUniqueName="[Table2].[property_type].[All]" allUniqueName="[Table2].[property_type].[All]" dimensionUniqueName="[Table2]" displayFolder="" count="2" memberValueDatatype="130" unbalanced="0"/>
    <cacheHierarchy uniqueName="[Table3].[title]" caption="title" attribute="1" defaultMemberUniqueName="[Table3].[title].[All]" allUniqueName="[Table3].[title].[All]" dimensionUniqueName="[Table3]" displayFolder="" count="2" memberValueDatatype="130" unbalanced="0"/>
    <cacheHierarchy uniqueName="[Table3].[price_ngn]" caption="price_ngn" attribute="1" defaultMemberUniqueName="[Table3].[price_ngn].[All]" allUniqueName="[Table3].[price_ngn].[All]" dimensionUniqueName="[Table3]" displayFolder="" count="2" memberValueDatatype="5" unbalanced="0"/>
    <cacheHierarchy uniqueName="[Table3].[Price Tier]" caption="Price Tier" attribute="1" defaultMemberUniqueName="[Table3].[Price Tier].[All]" allUniqueName="[Table3].[Price Tier].[All]" dimensionUniqueName="[Table3]" displayFolder="" count="2" memberValueDatatype="130" unbalanced="0">
      <fieldsUsage count="2">
        <fieldUsage x="-1"/>
        <fieldUsage x="2"/>
      </fieldsUsage>
    </cacheHierarchy>
    <cacheHierarchy uniqueName="[Table3].[listing_type]" caption="listing_type" attribute="1" defaultMemberUniqueName="[Table3].[listing_type].[All]" allUniqueName="[Table3].[listing_type].[All]" dimensionUniqueName="[Table3]" displayFolder="" count="2" memberValueDatatype="130" unbalanced="0"/>
    <cacheHierarchy uniqueName="[Table3].[area]" caption="area" attribute="1" defaultMemberUniqueName="[Table3].[area].[All]" allUniqueName="[Table3].[area].[All]" dimensionUniqueName="[Table3]" displayFolder="" count="2" memberValueDatatype="130" unbalanced="0">
      <fieldsUsage count="2">
        <fieldUsage x="-1"/>
        <fieldUsage x="0"/>
      </fieldsUsage>
    </cacheHierarchy>
    <cacheHierarchy uniqueName="[Table3].[address]" caption="address" attribute="1" defaultMemberUniqueName="[Table3].[address].[All]" allUniqueName="[Table3].[address].[All]" dimensionUniqueName="[Table3]" displayFolder="" count="2" memberValueDatatype="130" unbalanced="0"/>
    <cacheHierarchy uniqueName="[Table3].[bedrooms]" caption="bedrooms" attribute="1" defaultMemberUniqueName="[Table3].[bedrooms].[All]" allUniqueName="[Table3].[bedrooms].[All]" dimensionUniqueName="[Table3]" displayFolder="" count="2" memberValueDatatype="20" unbalanced="0"/>
    <cacheHierarchy uniqueName="[Table3].[bathrooms]" caption="bathrooms" attribute="1" defaultMemberUniqueName="[Table3].[bathrooms].[All]" allUniqueName="[Table3].[bathrooms].[All]" dimensionUniqueName="[Table3]" displayFolder="" count="2" memberValueDatatype="20" unbalanced="0"/>
    <cacheHierarchy uniqueName="[Table3].[toilets]" caption="toilets" attribute="1" defaultMemberUniqueName="[Table3].[toilets].[All]" allUniqueName="[Table3].[toilets].[All]" dimensionUniqueName="[Table3]" displayFolder="" count="2" memberValueDatatype="20" unbalanced="0"/>
    <cacheHierarchy uniqueName="[Table3].[property_type]" caption="property_type" attribute="1" defaultMemberUniqueName="[Table3].[property_type].[All]" allUniqueName="[Table3].[property_type].[All]" dimensionUniqueName="[Table3]" displayFolder="" count="2"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2459375003" backgroundQuery="1" createdVersion="8" refreshedVersion="8" minRefreshableVersion="3" recordCount="0" supportSubquery="1" supportAdvancedDrill="1" xr:uid="{B4ABC240-DD01-453B-9CB3-144167589658}">
  <cacheSource type="external" connectionId="1"/>
  <cacheFields count="4">
    <cacheField name="[Table3].[area].[area]" caption="area" numFmtId="0" hierarchy="1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3].[area].&amp;[Apo]"/>
            <x15:cachedUniqueName index="1" name="[Table3].[area].&amp;[Asokoro]"/>
            <x15:cachedUniqueName index="2" name="[Table3].[area].&amp;[Dawaki]"/>
            <x15:cachedUniqueName index="3" name="[Table3].[area].&amp;[Galadimawa]"/>
            <x15:cachedUniqueName index="4" name="[Table3].[area].&amp;[Guzape]"/>
            <x15:cachedUniqueName index="5" name="[Table3].[area].&amp;[Gwarinpa]"/>
            <x15:cachedUniqueName index="6" name="[Table3].[area].&amp;[Jabi]"/>
            <x15:cachedUniqueName index="7" name="[Table3].[area].&amp;[Karsana]"/>
            <x15:cachedUniqueName index="8" name="[Table3].[area].&amp;[Katampe]"/>
            <x15:cachedUniqueName index="9" name="[Table3].[area].&amp;[Kubwa]"/>
            <x15:cachedUniqueName index="10" name="[Table3].[area].&amp;[Life-Camp]"/>
            <x15:cachedUniqueName index="11" name="[Table3].[area].&amp;[Lokogoma]"/>
            <x15:cachedUniqueName index="12" name="[Table3].[area].&amp;[Lugbe]"/>
            <x15:cachedUniqueName index="13" name="[Table3].[area].&amp;[Maitama]"/>
            <x15:cachedUniqueName index="14" name="[Table3].[area].&amp;[Utako]"/>
            <x15:cachedUniqueName index="15" name="[Table3].[area].&amp;[Wuse-2]"/>
          </x15:cachedUniqueNames>
        </ext>
      </extLst>
    </cacheField>
    <cacheField name="[Measures].[Count of price_ngn]" caption="Count of price_ngn" numFmtId="0" hierarchy="31" level="32767"/>
    <cacheField name="[Table3].[listing_type].[listing_type]" caption="listing_type" numFmtId="0" hierarchy="15" level="1">
      <sharedItems count="1">
        <s v="sale"/>
      </sharedItems>
      <extLst>
        <ext xmlns:x15="http://schemas.microsoft.com/office/spreadsheetml/2010/11/main" uri="{4F2E5C28-24EA-4eb8-9CBF-B6C8F9C3D259}">
          <x15:cachedUniqueNames>
            <x15:cachedUniqueName index="0" name="[Table3].[listing_type].&amp;[sale]"/>
          </x15:cachedUniqueNames>
        </ext>
      </extLst>
    </cacheField>
    <cacheField name="[Table3].[Price Tier].[Price Tier]" caption="Price Tier" numFmtId="0" hierarchy="1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0" memberValueDatatype="130" unbalanced="0"/>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2" memberValueDatatype="130" unbalanced="0">
      <fieldsUsage count="2">
        <fieldUsage x="-1"/>
        <fieldUsage x="3"/>
      </fieldsUsage>
    </cacheHierarchy>
    <cacheHierarchy uniqueName="[Table3].[listing_type]" caption="listing_type" attribute="1" defaultMemberUniqueName="[Table3].[listing_type].[All]" allUniqueName="[Table3].[listing_type].[All]" dimensionUniqueName="[Table3]" displayFolder="" count="2" memberValueDatatype="130" unbalanced="0">
      <fieldsUsage count="2">
        <fieldUsage x="-1"/>
        <fieldUsage x="2"/>
      </fieldsUsage>
    </cacheHierarchy>
    <cacheHierarchy uniqueName="[Table3].[area]" caption="area" attribute="1" defaultMemberUniqueName="[Table3].[area].[All]" allUniqueName="[Table3].[area].[All]" dimensionUniqueName="[Table3]" displayFolder="" count="2" memberValueDatatype="130" unbalanced="0">
      <fieldsUsage count="2">
        <fieldUsage x="-1"/>
        <fieldUsage x="0"/>
      </fieldsUsage>
    </cacheHierarchy>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2459722219" backgroundQuery="1" createdVersion="8" refreshedVersion="8" minRefreshableVersion="3" recordCount="0" supportSubquery="1" supportAdvancedDrill="1" xr:uid="{F9065FCA-2728-48A9-84D5-39B6886AE269}">
  <cacheSource type="external" connectionId="1"/>
  <cacheFields count="3">
    <cacheField name="[Table3].[listing_type].[listing_type]" caption="listing_type" numFmtId="0" hierarchy="15" level="1">
      <sharedItems count="1">
        <s v="sale"/>
      </sharedItems>
      <extLst>
        <ext xmlns:x15="http://schemas.microsoft.com/office/spreadsheetml/2010/11/main" uri="{4F2E5C28-24EA-4eb8-9CBF-B6C8F9C3D259}">
          <x15:cachedUniqueNames>
            <x15:cachedUniqueName index="0" name="[Table3].[listing_type].&amp;[sale]"/>
          </x15:cachedUniqueNames>
        </ext>
      </extLst>
    </cacheField>
    <cacheField name="[Measures].[Median Sale Price]" caption="Median Sale Price" numFmtId="0" hierarchy="22" level="32767"/>
    <cacheField name="[Table3].[Price Tier].[Price Tier]" caption="Price Tier" numFmtId="0" hierarchy="1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0" memberValueDatatype="130" unbalanced="0"/>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2" memberValueDatatype="130" unbalanced="0">
      <fieldsUsage count="2">
        <fieldUsage x="-1"/>
        <fieldUsage x="2"/>
      </fieldsUsage>
    </cacheHierarchy>
    <cacheHierarchy uniqueName="[Table3].[listing_type]" caption="listing_type" attribute="1" defaultMemberUniqueName="[Table3].[listing_type].[All]" allUniqueName="[Table3].[listing_type].[All]" dimensionUniqueName="[Table3]" displayFolder="" count="2" memberValueDatatype="130" unbalanced="0">
      <fieldsUsage count="2">
        <fieldUsage x="-1"/>
        <fieldUsage x="0"/>
      </fieldsUsage>
    </cacheHierarchy>
    <cacheHierarchy uniqueName="[Table3].[area]" caption="area" attribute="1" defaultMemberUniqueName="[Table3].[area].[All]" allUniqueName="[Table3].[area].[All]" dimensionUniqueName="[Table3]" displayFolder="" count="2"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oneField="1">
      <fieldsUsage count="1">
        <fieldUsage x="1"/>
      </fieldsUsage>
    </cacheHierarchy>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2460069442" backgroundQuery="1" createdVersion="8" refreshedVersion="8" minRefreshableVersion="3" recordCount="0" supportSubquery="1" supportAdvancedDrill="1" xr:uid="{73F3B727-83AA-48E0-994C-A9F02CDCFBBF}">
  <cacheSource type="external" connectionId="1"/>
  <cacheFields count="3">
    <cacheField name="[Table3].[listing_type].[listing_type]" caption="listing_type" numFmtId="0" hierarchy="15" level="1">
      <sharedItems count="1">
        <s v="sale"/>
      </sharedItems>
      <extLst>
        <ext xmlns:x15="http://schemas.microsoft.com/office/spreadsheetml/2010/11/main" uri="{4F2E5C28-24EA-4eb8-9CBF-B6C8F9C3D259}">
          <x15:cachedUniqueNames>
            <x15:cachedUniqueName index="0" name="[Table3].[listing_type].&amp;[sale]"/>
          </x15:cachedUniqueNames>
        </ext>
      </extLst>
    </cacheField>
    <cacheField name="[Measures].[Min of price_ngn 2]" caption="Min of price_ngn 2" numFmtId="0" hierarchy="37" level="32767"/>
    <cacheField name="[Table3].[Price Tier].[Price Tier]" caption="Price Tier" numFmtId="0" hierarchy="1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0" memberValueDatatype="130" unbalanced="0"/>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2" memberValueDatatype="130" unbalanced="0">
      <fieldsUsage count="2">
        <fieldUsage x="-1"/>
        <fieldUsage x="2"/>
      </fieldsUsage>
    </cacheHierarchy>
    <cacheHierarchy uniqueName="[Table3].[listing_type]" caption="listing_type" attribute="1" defaultMemberUniqueName="[Table3].[listing_type].[All]" allUniqueName="[Table3].[listing_type].[All]" dimensionUniqueName="[Table3]" displayFolder="" count="2" memberValueDatatype="130" unbalanced="0">
      <fieldsUsage count="2">
        <fieldUsage x="-1"/>
        <fieldUsage x="0"/>
      </fieldsUsage>
    </cacheHierarchy>
    <cacheHierarchy uniqueName="[Table3].[area]" caption="area" attribute="1" defaultMemberUniqueName="[Table3].[area].[All]" allUniqueName="[Table3].[area].[All]" dimensionUniqueName="[Table3]" displayFolder="" count="2"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2460416665" backgroundQuery="1" createdVersion="8" refreshedVersion="8" minRefreshableVersion="3" recordCount="0" supportSubquery="1" supportAdvancedDrill="1" xr:uid="{4F8B255E-10B2-48FF-9780-E7DC837AE7A2}">
  <cacheSource type="external" connectionId="1"/>
  <cacheFields count="3">
    <cacheField name="[Table3].[listing_type].[listing_type]" caption="listing_type" numFmtId="0" hierarchy="15" level="1">
      <sharedItems count="1">
        <s v="sale"/>
      </sharedItems>
      <extLst>
        <ext xmlns:x15="http://schemas.microsoft.com/office/spreadsheetml/2010/11/main" uri="{4F2E5C28-24EA-4eb8-9CBF-B6C8F9C3D259}">
          <x15:cachedUniqueNames>
            <x15:cachedUniqueName index="0" name="[Table3].[listing_type].&amp;[sale]"/>
          </x15:cachedUniqueNames>
        </ext>
      </extLst>
    </cacheField>
    <cacheField name="[Measures].[Max of price_ngn 2]" caption="Max of price_ngn 2" numFmtId="0" hierarchy="36" level="32767"/>
    <cacheField name="[Table3].[Price Tier].[Price Tier]" caption="Price Tier" numFmtId="0" hierarchy="1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0" memberValueDatatype="130" unbalanced="0"/>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2" memberValueDatatype="130" unbalanced="0">
      <fieldsUsage count="2">
        <fieldUsage x="-1"/>
        <fieldUsage x="2"/>
      </fieldsUsage>
    </cacheHierarchy>
    <cacheHierarchy uniqueName="[Table3].[listing_type]" caption="listing_type" attribute="1" defaultMemberUniqueName="[Table3].[listing_type].[All]" allUniqueName="[Table3].[listing_type].[All]" dimensionUniqueName="[Table3]" displayFolder="" count="2" memberValueDatatype="130" unbalanced="0">
      <fieldsUsage count="2">
        <fieldUsage x="-1"/>
        <fieldUsage x="0"/>
      </fieldsUsage>
    </cacheHierarchy>
    <cacheHierarchy uniqueName="[Table3].[area]" caption="area" attribute="1" defaultMemberUniqueName="[Table3].[area].[All]" allUniqueName="[Table3].[area].[All]" dimensionUniqueName="[Table3]" displayFolder="" count="2"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oneField="1" hidden="1">
      <fieldsUsage count="1">
        <fieldUsage x="1"/>
      </fieldsUsage>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2460763889" backgroundQuery="1" createdVersion="8" refreshedVersion="8" minRefreshableVersion="3" recordCount="0" supportSubquery="1" supportAdvancedDrill="1" xr:uid="{0CC922D4-630F-4DDD-85CC-058D30AB0E89}">
  <cacheSource type="external" connectionId="1"/>
  <cacheFields count="3">
    <cacheField name="[Table3].[area].[area]" caption="area" numFmtId="0" hierarchy="1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3].[area].&amp;[Apo]"/>
            <x15:cachedUniqueName index="1" name="[Table3].[area].&amp;[Asokoro]"/>
            <x15:cachedUniqueName index="2" name="[Table3].[area].&amp;[Dawaki]"/>
            <x15:cachedUniqueName index="3" name="[Table3].[area].&amp;[Galadimawa]"/>
            <x15:cachedUniqueName index="4" name="[Table3].[area].&amp;[Guzape]"/>
            <x15:cachedUniqueName index="5" name="[Table3].[area].&amp;[Gwarinpa]"/>
            <x15:cachedUniqueName index="6" name="[Table3].[area].&amp;[Jabi]"/>
            <x15:cachedUniqueName index="7" name="[Table3].[area].&amp;[Karsana]"/>
            <x15:cachedUniqueName index="8" name="[Table3].[area].&amp;[Katampe]"/>
            <x15:cachedUniqueName index="9" name="[Table3].[area].&amp;[Kubwa]"/>
            <x15:cachedUniqueName index="10" name="[Table3].[area].&amp;[Life-Camp]"/>
            <x15:cachedUniqueName index="11" name="[Table3].[area].&amp;[Lokogoma]"/>
            <x15:cachedUniqueName index="12" name="[Table3].[area].&amp;[Lugbe]"/>
            <x15:cachedUniqueName index="13" name="[Table3].[area].&amp;[Maitama]"/>
            <x15:cachedUniqueName index="14" name="[Table3].[area].&amp;[Utako]"/>
            <x15:cachedUniqueName index="15" name="[Table3].[area].&amp;[Wuse-2]"/>
          </x15:cachedUniqueNames>
        </ext>
      </extLst>
    </cacheField>
    <cacheField name="[Measures].[Median Sale Price]" caption="Median Sale Price" numFmtId="0" hierarchy="22" level="32767"/>
    <cacheField name="[Table3].[Price Tier].[Price Tier]" caption="Price Tier" numFmtId="0" hierarchy="1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0" memberValueDatatype="130" unbalanced="0"/>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2" memberValueDatatype="130" unbalanced="0">
      <fieldsUsage count="2">
        <fieldUsage x="-1"/>
        <fieldUsage x="2"/>
      </fieldsUsage>
    </cacheHierarchy>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2" memberValueDatatype="130" unbalanced="0">
      <fieldsUsage count="2">
        <fieldUsage x="-1"/>
        <fieldUsage x="0"/>
      </fieldsUsage>
    </cacheHierarchy>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oneField="1">
      <fieldsUsage count="1">
        <fieldUsage x="1"/>
      </fieldsUsage>
    </cacheHierarchy>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2461111112" backgroundQuery="1" createdVersion="8" refreshedVersion="8" minRefreshableVersion="3" recordCount="0" supportSubquery="1" supportAdvancedDrill="1" xr:uid="{2205C90E-D4DC-421C-8355-8BA3CFB6FC22}">
  <cacheSource type="external" connectionId="1"/>
  <cacheFields count="4">
    <cacheField name="[Table3].[area].[area]" caption="area" numFmtId="0" hierarchy="1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3].[area].&amp;[Apo]"/>
            <x15:cachedUniqueName index="1" name="[Table3].[area].&amp;[Asokoro]"/>
            <x15:cachedUniqueName index="2" name="[Table3].[area].&amp;[Dawaki]"/>
            <x15:cachedUniqueName index="3" name="[Table3].[area].&amp;[Galadimawa]"/>
            <x15:cachedUniqueName index="4" name="[Table3].[area].&amp;[Guzape]"/>
            <x15:cachedUniqueName index="5" name="[Table3].[area].&amp;[Gwarinpa]"/>
            <x15:cachedUniqueName index="6" name="[Table3].[area].&amp;[Jabi]"/>
            <x15:cachedUniqueName index="7" name="[Table3].[area].&amp;[Karsana]"/>
            <x15:cachedUniqueName index="8" name="[Table3].[area].&amp;[Katampe]"/>
            <x15:cachedUniqueName index="9" name="[Table3].[area].&amp;[Kubwa]"/>
            <x15:cachedUniqueName index="10" name="[Table3].[area].&amp;[Life-Camp]"/>
            <x15:cachedUniqueName index="11" name="[Table3].[area].&amp;[Lokogoma]"/>
            <x15:cachedUniqueName index="12" name="[Table3].[area].&amp;[Lugbe]"/>
            <x15:cachedUniqueName index="13" name="[Table3].[area].&amp;[Maitama]"/>
            <x15:cachedUniqueName index="14" name="[Table3].[area].&amp;[Utako]"/>
            <x15:cachedUniqueName index="15" name="[Table3].[area].&amp;[Wuse-2]"/>
          </x15:cachedUniqueNames>
        </ext>
      </extLst>
    </cacheField>
    <cacheField name="[Measures].[Median Sale Price]" caption="Median Sale Price" numFmtId="0" hierarchy="22" level="32767"/>
    <cacheField name="[Table3].[bedrooms].[bedrooms]" caption="bedrooms" numFmtId="0" hierarchy="18" level="1">
      <sharedItems containsSemiMixedTypes="0" containsString="0" containsNumber="1" containsInteger="1" minValue="1" maxValue="10" count="9">
        <n v="1"/>
        <n v="2"/>
        <n v="3"/>
        <n v="4"/>
        <n v="5"/>
        <n v="6"/>
        <n v="7"/>
        <n v="8"/>
        <n v="10"/>
      </sharedItems>
      <extLst>
        <ext xmlns:x15="http://schemas.microsoft.com/office/spreadsheetml/2010/11/main" uri="{4F2E5C28-24EA-4eb8-9CBF-B6C8F9C3D259}">
          <x15:cachedUniqueNames>
            <x15:cachedUniqueName index="0" name="[Table3].[bedrooms].&amp;[1]"/>
            <x15:cachedUniqueName index="1" name="[Table3].[bedrooms].&amp;[2]"/>
            <x15:cachedUniqueName index="2" name="[Table3].[bedrooms].&amp;[3]"/>
            <x15:cachedUniqueName index="3" name="[Table3].[bedrooms].&amp;[4]"/>
            <x15:cachedUniqueName index="4" name="[Table3].[bedrooms].&amp;[5]"/>
            <x15:cachedUniqueName index="5" name="[Table3].[bedrooms].&amp;[6]"/>
            <x15:cachedUniqueName index="6" name="[Table3].[bedrooms].&amp;[7]"/>
            <x15:cachedUniqueName index="7" name="[Table3].[bedrooms].&amp;[8]"/>
            <x15:cachedUniqueName index="8" name="[Table3].[bedrooms].&amp;[10]"/>
          </x15:cachedUniqueNames>
        </ext>
      </extLst>
    </cacheField>
    <cacheField name="[Table3].[Price Tier].[Price Tier]" caption="Price Tier" numFmtId="0" hierarchy="1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0" memberValueDatatype="130" unbalanced="0"/>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2" memberValueDatatype="130" unbalanced="0">
      <fieldsUsage count="2">
        <fieldUsage x="-1"/>
        <fieldUsage x="3"/>
      </fieldsUsage>
    </cacheHierarchy>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2" memberValueDatatype="130" unbalanced="0">
      <fieldsUsage count="2">
        <fieldUsage x="-1"/>
        <fieldUsage x="0"/>
      </fieldsUsage>
    </cacheHierarchy>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2" memberValueDatatype="20" unbalanced="0">
      <fieldsUsage count="2">
        <fieldUsage x="-1"/>
        <fieldUsage x="2"/>
      </fieldsUsage>
    </cacheHierarchy>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oneField="1">
      <fieldsUsage count="1">
        <fieldUsage x="1"/>
      </fieldsUsage>
    </cacheHierarchy>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2461689812" backgroundQuery="1" createdVersion="8" refreshedVersion="8" minRefreshableVersion="3" recordCount="0" supportSubquery="1" supportAdvancedDrill="1" xr:uid="{CE94243E-6EE7-45BD-8F8E-7A199A8244FC}">
  <cacheSource type="external" connectionId="1"/>
  <cacheFields count="5">
    <cacheField name="[Table3].[area].[area]" caption="area" numFmtId="0" hierarchy="1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3].[area].&amp;[Apo]"/>
            <x15:cachedUniqueName index="1" name="[Table3].[area].&amp;[Asokoro]"/>
            <x15:cachedUniqueName index="2" name="[Table3].[area].&amp;[Dawaki]"/>
            <x15:cachedUniqueName index="3" name="[Table3].[area].&amp;[Galadimawa]"/>
            <x15:cachedUniqueName index="4" name="[Table3].[area].&amp;[Guzape]"/>
            <x15:cachedUniqueName index="5" name="[Table3].[area].&amp;[Gwarinpa]"/>
            <x15:cachedUniqueName index="6" name="[Table3].[area].&amp;[Jabi]"/>
            <x15:cachedUniqueName index="7" name="[Table3].[area].&amp;[Karsana]"/>
            <x15:cachedUniqueName index="8" name="[Table3].[area].&amp;[Katampe]"/>
            <x15:cachedUniqueName index="9" name="[Table3].[area].&amp;[Kubwa]"/>
            <x15:cachedUniqueName index="10" name="[Table3].[area].&amp;[Life-Camp]"/>
            <x15:cachedUniqueName index="11" name="[Table3].[area].&amp;[Lokogoma]"/>
            <x15:cachedUniqueName index="12" name="[Table3].[area].&amp;[Lugbe]"/>
            <x15:cachedUniqueName index="13" name="[Table3].[area].&amp;[Maitama]"/>
            <x15:cachedUniqueName index="14" name="[Table3].[area].&amp;[Utako]"/>
            <x15:cachedUniqueName index="15" name="[Table3].[area].&amp;[Wuse-2]"/>
          </x15:cachedUniqueNames>
        </ext>
      </extLst>
    </cacheField>
    <cacheField name="[Measures].[Median Sale Price]" caption="Median Sale Price" numFmtId="0" hierarchy="22" level="32767"/>
    <cacheField name="[Table3].[bedrooms].[bedrooms]" caption="bedrooms" numFmtId="0" hierarchy="18" level="1">
      <sharedItems containsSemiMixedTypes="0" containsString="0" containsNumber="1" containsInteger="1" minValue="1" maxValue="10" count="9">
        <n v="1"/>
        <n v="2"/>
        <n v="3"/>
        <n v="4"/>
        <n v="5"/>
        <n v="6"/>
        <n v="7"/>
        <n v="8"/>
        <n v="10"/>
      </sharedItems>
      <extLst>
        <ext xmlns:x15="http://schemas.microsoft.com/office/spreadsheetml/2010/11/main" uri="{4F2E5C28-24EA-4eb8-9CBF-B6C8F9C3D259}">
          <x15:cachedUniqueNames>
            <x15:cachedUniqueName index="0" name="[Table3].[bedrooms].&amp;[1]"/>
            <x15:cachedUniqueName index="1" name="[Table3].[bedrooms].&amp;[2]"/>
            <x15:cachedUniqueName index="2" name="[Table3].[bedrooms].&amp;[3]"/>
            <x15:cachedUniqueName index="3" name="[Table3].[bedrooms].&amp;[4]"/>
            <x15:cachedUniqueName index="4" name="[Table3].[bedrooms].&amp;[5]"/>
            <x15:cachedUniqueName index="5" name="[Table3].[bedrooms].&amp;[6]"/>
            <x15:cachedUniqueName index="6" name="[Table3].[bedrooms].&amp;[7]"/>
            <x15:cachedUniqueName index="7" name="[Table3].[bedrooms].&amp;[8]"/>
            <x15:cachedUniqueName index="8" name="[Table3].[bedrooms].&amp;[10]"/>
          </x15:cachedUniqueNames>
        </ext>
      </extLst>
    </cacheField>
    <cacheField name="[Table3].[property_type].[property_type]" caption="property_type" numFmtId="0" hierarchy="21" level="1">
      <sharedItems count="7">
        <s v="Bungalow"/>
        <s v="Detached Duplex"/>
        <s v="Flat/Apartment"/>
        <s v="House"/>
        <s v="Mansion"/>
        <s v="Semi-Detached Duplex"/>
        <s v="Terraced Duplex"/>
      </sharedItems>
      <extLst>
        <ext xmlns:x15="http://schemas.microsoft.com/office/spreadsheetml/2010/11/main" uri="{4F2E5C28-24EA-4eb8-9CBF-B6C8F9C3D259}">
          <x15:cachedUniqueNames>
            <x15:cachedUniqueName index="0" name="[Table3].[property_type].&amp;[Bungalow]"/>
            <x15:cachedUniqueName index="1" name="[Table3].[property_type].&amp;[Detached Duplex]"/>
            <x15:cachedUniqueName index="2" name="[Table3].[property_type].&amp;[Flat/Apartment]"/>
            <x15:cachedUniqueName index="3" name="[Table3].[property_type].&amp;[House]"/>
            <x15:cachedUniqueName index="4" name="[Table3].[property_type].&amp;[Mansion]"/>
            <x15:cachedUniqueName index="5" name="[Table3].[property_type].&amp;[Semi-Detached Duplex]"/>
            <x15:cachedUniqueName index="6" name="[Table3].[property_type].&amp;[Terraced Duplex]"/>
          </x15:cachedUniqueNames>
        </ext>
      </extLst>
    </cacheField>
    <cacheField name="[Table3].[Price Tier].[Price Tier]" caption="Price Tier" numFmtId="0" hierarchy="1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0" memberValueDatatype="130" unbalanced="0"/>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2" memberValueDatatype="130" unbalanced="0">
      <fieldsUsage count="2">
        <fieldUsage x="-1"/>
        <fieldUsage x="4"/>
      </fieldsUsage>
    </cacheHierarchy>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2" memberValueDatatype="130" unbalanced="0">
      <fieldsUsage count="2">
        <fieldUsage x="-1"/>
        <fieldUsage x="0"/>
      </fieldsUsage>
    </cacheHierarchy>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2" memberValueDatatype="20" unbalanced="0">
      <fieldsUsage count="2">
        <fieldUsage x="-1"/>
        <fieldUsage x="2"/>
      </fieldsUsage>
    </cacheHierarchy>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2" memberValueDatatype="130" unbalanced="0">
      <fieldsUsage count="2">
        <fieldUsage x="-1"/>
        <fieldUsage x="3"/>
      </fieldsUsage>
    </cacheHierarchy>
    <cacheHierarchy uniqueName="[Measures].[Median Sale Price]" caption="Median Sale Price" measure="1" displayFolder="" measureGroup="Table3" count="0" oneField="1">
      <fieldsUsage count="1">
        <fieldUsage x="1"/>
      </fieldsUsage>
    </cacheHierarchy>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2462037036" backgroundQuery="1" createdVersion="8" refreshedVersion="8" minRefreshableVersion="3" recordCount="0" supportSubquery="1" supportAdvancedDrill="1" xr:uid="{C10774B0-EA03-4A3D-B199-C8EB62B41ADA}">
  <cacheSource type="external" connectionId="1"/>
  <cacheFields count="3">
    <cacheField name="[Table3].[area].[area]" caption="area" numFmtId="0" hierarchy="16" level="1">
      <sharedItems count="16">
        <s v="Apo"/>
        <s v="Asokoro"/>
        <s v="Dawaki"/>
        <s v="Galadimawa"/>
        <s v="Guzape"/>
        <s v="Gwarinpa"/>
        <s v="Jabi"/>
        <s v="Karsana"/>
        <s v="Katampe"/>
        <s v="Kubwa"/>
        <s v="Life-Camp"/>
        <s v="Lokogoma"/>
        <s v="Lugbe"/>
        <s v="Maitama"/>
        <s v="Utako"/>
        <s v="Wuse-2"/>
      </sharedItems>
      <extLst>
        <ext xmlns:x15="http://schemas.microsoft.com/office/spreadsheetml/2010/11/main" uri="{4F2E5C28-24EA-4eb8-9CBF-B6C8F9C3D259}">
          <x15:cachedUniqueNames>
            <x15:cachedUniqueName index="0" name="[Table3].[area].&amp;[Apo]"/>
            <x15:cachedUniqueName index="1" name="[Table3].[area].&amp;[Asokoro]"/>
            <x15:cachedUniqueName index="2" name="[Table3].[area].&amp;[Dawaki]"/>
            <x15:cachedUniqueName index="3" name="[Table3].[area].&amp;[Galadimawa]"/>
            <x15:cachedUniqueName index="4" name="[Table3].[area].&amp;[Guzape]"/>
            <x15:cachedUniqueName index="5" name="[Table3].[area].&amp;[Gwarinpa]"/>
            <x15:cachedUniqueName index="6" name="[Table3].[area].&amp;[Jabi]"/>
            <x15:cachedUniqueName index="7" name="[Table3].[area].&amp;[Karsana]"/>
            <x15:cachedUniqueName index="8" name="[Table3].[area].&amp;[Katampe]"/>
            <x15:cachedUniqueName index="9" name="[Table3].[area].&amp;[Kubwa]"/>
            <x15:cachedUniqueName index="10" name="[Table3].[area].&amp;[Life-Camp]"/>
            <x15:cachedUniqueName index="11" name="[Table3].[area].&amp;[Lokogoma]"/>
            <x15:cachedUniqueName index="12" name="[Table3].[area].&amp;[Lugbe]"/>
            <x15:cachedUniqueName index="13" name="[Table3].[area].&amp;[Maitama]"/>
            <x15:cachedUniqueName index="14" name="[Table3].[area].&amp;[Utako]"/>
            <x15:cachedUniqueName index="15" name="[Table3].[area].&amp;[Wuse-2]"/>
          </x15:cachedUniqueNames>
        </ext>
      </extLst>
    </cacheField>
    <cacheField name="[Measures].[Count of price_ngn]" caption="Count of price_ngn" numFmtId="0" hierarchy="31" level="32767"/>
    <cacheField name="[Table3].[Price Tier].[Price Tier]" caption="Price Tier" numFmtId="0" hierarchy="1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0" memberValueDatatype="130" unbalanced="0"/>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2" memberValueDatatype="130" unbalanced="0">
      <fieldsUsage count="2">
        <fieldUsage x="-1"/>
        <fieldUsage x="2"/>
      </fieldsUsage>
    </cacheHierarchy>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2" memberValueDatatype="130" unbalanced="0">
      <fieldsUsage count="2">
        <fieldUsage x="-1"/>
        <fieldUsage x="0"/>
      </fieldsUsage>
    </cacheHierarchy>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2462384259" backgroundQuery="1" createdVersion="8" refreshedVersion="8" minRefreshableVersion="3" recordCount="0" supportSubquery="1" supportAdvancedDrill="1" xr:uid="{050D48CB-1C7D-41FA-89C1-3C1B797A6124}">
  <cacheSource type="external" connectionId="1"/>
  <cacheFields count="3">
    <cacheField name="[Table3].[property_type].[property_type]" caption="property_type" numFmtId="0" hierarchy="21" level="1">
      <sharedItems count="7">
        <s v="Bungalow"/>
        <s v="Detached Duplex"/>
        <s v="Flat/Apartment"/>
        <s v="House"/>
        <s v="Mansion"/>
        <s v="Semi-Detached Duplex"/>
        <s v="Terraced Duplex"/>
      </sharedItems>
      <extLst>
        <ext xmlns:x15="http://schemas.microsoft.com/office/spreadsheetml/2010/11/main" uri="{4F2E5C28-24EA-4eb8-9CBF-B6C8F9C3D259}">
          <x15:cachedUniqueNames>
            <x15:cachedUniqueName index="0" name="[Table3].[property_type].&amp;[Bungalow]"/>
            <x15:cachedUniqueName index="1" name="[Table3].[property_type].&amp;[Detached Duplex]"/>
            <x15:cachedUniqueName index="2" name="[Table3].[property_type].&amp;[Flat/Apartment]"/>
            <x15:cachedUniqueName index="3" name="[Table3].[property_type].&amp;[House]"/>
            <x15:cachedUniqueName index="4" name="[Table3].[property_type].&amp;[Mansion]"/>
            <x15:cachedUniqueName index="5" name="[Table3].[property_type].&amp;[Semi-Detached Duplex]"/>
            <x15:cachedUniqueName index="6" name="[Table3].[property_type].&amp;[Terraced Duplex]"/>
          </x15:cachedUniqueNames>
        </ext>
      </extLst>
    </cacheField>
    <cacheField name="[Measures].[Count of price_ngn]" caption="Count of price_ngn" numFmtId="0" hierarchy="31" level="32767"/>
    <cacheField name="[Table3].[Price Tier].[Price Tier]" caption="Price Tier" numFmtId="0" hierarchy="1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0" memberValueDatatype="130" unbalanced="0"/>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2" memberValueDatatype="130" unbalanced="0">
      <fieldsUsage count="2">
        <fieldUsage x="-1"/>
        <fieldUsage x="2"/>
      </fieldsUsage>
    </cacheHierarchy>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2"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2" memberValueDatatype="130" unbalanced="0">
      <fieldsUsage count="2">
        <fieldUsage x="-1"/>
        <fieldUsage x="0"/>
      </fieldsUsage>
    </cacheHierarchy>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21.452462731482" backgroundQuery="1" createdVersion="8" refreshedVersion="8" minRefreshableVersion="3" recordCount="0" supportSubquery="1" supportAdvancedDrill="1" xr:uid="{97DEA317-353B-4F36-ACA7-34E522BD4FF1}">
  <cacheSource type="external" connectionId="1"/>
  <cacheFields count="3">
    <cacheField name="[Table3].[bedrooms].[bedrooms]" caption="bedrooms" numFmtId="0" hierarchy="18" level="1">
      <sharedItems containsSemiMixedTypes="0" containsString="0" containsNumber="1" containsInteger="1" minValue="1" maxValue="10" count="9">
        <n v="1"/>
        <n v="2"/>
        <n v="3"/>
        <n v="4"/>
        <n v="5"/>
        <n v="6"/>
        <n v="7"/>
        <n v="8"/>
        <n v="10"/>
      </sharedItems>
      <extLst>
        <ext xmlns:x15="http://schemas.microsoft.com/office/spreadsheetml/2010/11/main" uri="{4F2E5C28-24EA-4eb8-9CBF-B6C8F9C3D259}">
          <x15:cachedUniqueNames>
            <x15:cachedUniqueName index="0" name="[Table3].[bedrooms].&amp;[1]"/>
            <x15:cachedUniqueName index="1" name="[Table3].[bedrooms].&amp;[2]"/>
            <x15:cachedUniqueName index="2" name="[Table3].[bedrooms].&amp;[3]"/>
            <x15:cachedUniqueName index="3" name="[Table3].[bedrooms].&amp;[4]"/>
            <x15:cachedUniqueName index="4" name="[Table3].[bedrooms].&amp;[5]"/>
            <x15:cachedUniqueName index="5" name="[Table3].[bedrooms].&amp;[6]"/>
            <x15:cachedUniqueName index="6" name="[Table3].[bedrooms].&amp;[7]"/>
            <x15:cachedUniqueName index="7" name="[Table3].[bedrooms].&amp;[8]"/>
            <x15:cachedUniqueName index="8" name="[Table3].[bedrooms].&amp;[10]"/>
          </x15:cachedUniqueNames>
        </ext>
      </extLst>
    </cacheField>
    <cacheField name="[Measures].[Count of price_ngn]" caption="Count of price_ngn" numFmtId="0" hierarchy="31" level="32767"/>
    <cacheField name="[Table3].[Price Tier].[Price Tier]" caption="Price Tier" numFmtId="0" hierarchy="14" level="1">
      <sharedItems containsSemiMixedTypes="0" containsNonDate="0" containsString="0"/>
    </cacheField>
  </cacheFields>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0" memberValueDatatype="130" unbalanced="0"/>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2" memberValueDatatype="130" unbalanced="0">
      <fieldsUsage count="2">
        <fieldUsage x="-1"/>
        <fieldUsage x="2"/>
      </fieldsUsage>
    </cacheHierarchy>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2"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2" memberValueDatatype="20" unbalanced="0">
      <fieldsUsage count="2">
        <fieldUsage x="-1"/>
        <fieldUsage x="0"/>
      </fieldsUsage>
    </cacheHierarchy>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dimensions count="4">
    <dimension measure="1" name="Measures" uniqueName="[Measures]" caption="Measures"/>
    <dimension name="Range" uniqueName="[Range]" caption="Range"/>
    <dimension name="Table2" uniqueName="[Table2]" caption="Table2"/>
    <dimension name="Table3" uniqueName="[Table3]" caption="Table3"/>
  </dimensions>
  <measureGroups count="3">
    <measureGroup name="Range" caption="Range"/>
    <measureGroup name="Table2" caption="Table2"/>
    <measureGroup name="Table3" caption="Table3"/>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18.923343055554" backgroundQuery="1" createdVersion="3" refreshedVersion="8" minRefreshableVersion="3" recordCount="0" supportSubquery="1" supportAdvancedDrill="1" xr:uid="{6E13D822-650A-4E90-B4B4-FE20C5A7663D}">
  <cacheSource type="external" connectionId="1">
    <extLst>
      <ext xmlns:x14="http://schemas.microsoft.com/office/spreadsheetml/2009/9/main" uri="{F057638F-6D5F-4e77-A914-E7F072B9BCA8}">
        <x14:sourceConnection name="ThisWorkbookDataModel"/>
      </ext>
    </extLst>
  </cacheSource>
  <cacheFields count="0"/>
  <cacheHierarchies count="39">
    <cacheHierarchy uniqueName="[Range].[Wuse-2]" caption="Wuse-2" attribute="1" defaultMemberUniqueName="[Range].[Wuse-2].[All]" allUniqueName="[Range].[Wuse-2].[All]" dimensionUniqueName="[Range]" displayFolder="" count="0" memberValueDatatype="130" unbalanced="0"/>
    <cacheHierarchy uniqueName="[Range].[$246,000,000.00]" caption="$246,000,000.00" attribute="1" defaultMemberUniqueName="[Range].[$246,000,000.00].[All]" allUniqueName="[Range].[$246,000,000.00].[All]" dimensionUniqueName="[Range]" displayFolder="" count="0" memberValueDatatype="20" unbalanced="0"/>
    <cacheHierarchy uniqueName="[Table2].[title]" caption="title" attribute="1" defaultMemberUniqueName="[Table2].[title].[All]" allUniqueName="[Table2].[title].[All]" dimensionUniqueName="[Table2]" displayFolder="" count="0" memberValueDatatype="130" unbalanced="0"/>
    <cacheHierarchy uniqueName="[Table2].[price_ngn]" caption="price_ngn" attribute="1" defaultMemberUniqueName="[Table2].[price_ngn].[All]" allUniqueName="[Table2].[price_ngn].[All]" dimensionUniqueName="[Table2]" displayFolder="" count="0" memberValueDatatype="20" unbalanced="0"/>
    <cacheHierarchy uniqueName="[Table2].[Price Tier]" caption="Price Tier" attribute="1" defaultMemberUniqueName="[Table2].[Price Tier].[All]" allUniqueName="[Table2].[Price Tier].[All]" dimensionUniqueName="[Table2]" displayFolder="" count="2" memberValueDatatype="130" unbalanced="0"/>
    <cacheHierarchy uniqueName="[Table2].[listing_type]" caption="listing_type" attribute="1" defaultMemberUniqueName="[Table2].[listing_type].[All]" allUniqueName="[Table2].[listing_type].[All]" dimensionUniqueName="[Table2]" displayFolder="" count="0" memberValueDatatype="130" unbalanced="0"/>
    <cacheHierarchy uniqueName="[Table2].[area]" caption="area" attribute="1" defaultMemberUniqueName="[Table2].[area].[All]" allUniqueName="[Table2].[area].[All]" dimensionUniqueName="[Table2]" displayFolder="" count="2"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bedrooms]" caption="bedrooms" attribute="1" defaultMemberUniqueName="[Table2].[bedrooms].[All]" allUniqueName="[Table2].[bedrooms].[All]" dimensionUniqueName="[Table2]" displayFolder="" count="0" memberValueDatatype="20" unbalanced="0"/>
    <cacheHierarchy uniqueName="[Table2].[bathrooms]" caption="bathrooms" attribute="1" defaultMemberUniqueName="[Table2].[bathrooms].[All]" allUniqueName="[Table2].[bathrooms].[All]" dimensionUniqueName="[Table2]" displayFolder="" count="0" memberValueDatatype="20" unbalanced="0"/>
    <cacheHierarchy uniqueName="[Table2].[toilets]" caption="toilets" attribute="1" defaultMemberUniqueName="[Table2].[toilets].[All]" allUniqueName="[Table2].[toilets].[All]" dimensionUniqueName="[Table2]" displayFolder="" count="0" memberValueDatatype="20" unbalanced="0"/>
    <cacheHierarchy uniqueName="[Table2].[property_type]" caption="property_type" attribute="1" defaultMemberUniqueName="[Table2].[property_type].[All]" allUniqueName="[Table2].[property_type].[All]" dimensionUniqueName="[Table2]" displayFolder="" count="0" memberValueDatatype="130" unbalanced="0"/>
    <cacheHierarchy uniqueName="[Table3].[title]" caption="title" attribute="1" defaultMemberUniqueName="[Table3].[title].[All]" allUniqueName="[Table3].[title].[All]" dimensionUniqueName="[Table3]" displayFolder="" count="0" memberValueDatatype="130" unbalanced="0"/>
    <cacheHierarchy uniqueName="[Table3].[price_ngn]" caption="price_ngn" attribute="1" defaultMemberUniqueName="[Table3].[price_ngn].[All]" allUniqueName="[Table3].[price_ngn].[All]" dimensionUniqueName="[Table3]" displayFolder="" count="0" memberValueDatatype="5" unbalanced="0"/>
    <cacheHierarchy uniqueName="[Table3].[Price Tier]" caption="Price Tier" attribute="1" defaultMemberUniqueName="[Table3].[Price Tier].[All]" allUniqueName="[Table3].[Price Tier].[All]" dimensionUniqueName="[Table3]" displayFolder="" count="2" memberValueDatatype="130" unbalanced="0"/>
    <cacheHierarchy uniqueName="[Table3].[listing_type]" caption="listing_type" attribute="1" defaultMemberUniqueName="[Table3].[listing_type].[All]" allUniqueName="[Table3].[listing_type].[All]" dimensionUniqueName="[Table3]" displayFolder="" count="0" memberValueDatatype="130" unbalanced="0"/>
    <cacheHierarchy uniqueName="[Table3].[area]" caption="area" attribute="1" defaultMemberUniqueName="[Table3].[area].[All]" allUniqueName="[Table3].[area].[All]" dimensionUniqueName="[Table3]" displayFolder="" count="2" memberValueDatatype="130" unbalanced="0"/>
    <cacheHierarchy uniqueName="[Table3].[address]" caption="address" attribute="1" defaultMemberUniqueName="[Table3].[address].[All]" allUniqueName="[Table3].[address].[All]" dimensionUniqueName="[Table3]" displayFolder="" count="0" memberValueDatatype="130" unbalanced="0"/>
    <cacheHierarchy uniqueName="[Table3].[bedrooms]" caption="bedrooms" attribute="1" defaultMemberUniqueName="[Table3].[bedrooms].[All]" allUniqueName="[Table3].[bedrooms].[All]" dimensionUniqueName="[Table3]" displayFolder="" count="0" memberValueDatatype="20" unbalanced="0"/>
    <cacheHierarchy uniqueName="[Table3].[bathrooms]" caption="bathrooms" attribute="1" defaultMemberUniqueName="[Table3].[bathrooms].[All]" allUniqueName="[Table3].[bathrooms].[All]" dimensionUniqueName="[Table3]" displayFolder="" count="0" memberValueDatatype="20" unbalanced="0"/>
    <cacheHierarchy uniqueName="[Table3].[toilets]" caption="toilets" attribute="1" defaultMemberUniqueName="[Table3].[toilets].[All]" allUniqueName="[Table3].[toilets].[All]" dimensionUniqueName="[Table3]" displayFolder="" count="0" memberValueDatatype="20" unbalanced="0"/>
    <cacheHierarchy uniqueName="[Table3].[property_type]" caption="property_type" attribute="1" defaultMemberUniqueName="[Table3].[property_type].[All]" allUniqueName="[Table3].[property_type].[All]" dimensionUniqueName="[Table3]" displayFolder="" count="0" memberValueDatatype="130" unbalanced="0"/>
    <cacheHierarchy uniqueName="[Measures].[Median Sale Price]" caption="Median Sale Price" measure="1" displayFolder="" measureGroup="Table3" count="0"/>
    <cacheHierarchy uniqueName="[Measures].[Median Rent Price]" caption="Median Rent Price" measure="1" displayFolder="" measureGroup="Table2" count="0"/>
    <cacheHierarchy uniqueName="[Measures].[Rental Price_Range]" caption="Rental Price_Range" measure="1" displayFolder="" measureGroup="Table2" count="0"/>
    <cacheHierarchy uniqueName="[Measures].[Sale Price_Range]" caption="Sale Price_Range" measure="1" displayFolder="" measureGroup="Table3" count="0"/>
    <cacheHierarchy uniqueName="[Measures].[__XL_Count Table3]" caption="__XL_Count Table3" measure="1" displayFolder="" measureGroup="Table3" count="0" hidden="1"/>
    <cacheHierarchy uniqueName="[Measures].[__XL_Count Table2]" caption="__XL_Count Table2" measure="1" displayFolder="" measureGroup="Table2"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ice_ngn]" caption="Sum of price_ngn" measure="1" displayFolder="" measureGroup="Table3" count="0" hidden="1">
      <extLst>
        <ext xmlns:x15="http://schemas.microsoft.com/office/spreadsheetml/2010/11/main" uri="{B97F6D7D-B522-45F9-BDA1-12C45D357490}">
          <x15:cacheHierarchy aggregatedColumn="13"/>
        </ext>
      </extLst>
    </cacheHierarchy>
    <cacheHierarchy uniqueName="[Measures].[Count of price_ngn]" caption="Count of price_ngn" measure="1" displayFolder="" measureGroup="Table3" count="0" hidden="1">
      <extLst>
        <ext xmlns:x15="http://schemas.microsoft.com/office/spreadsheetml/2010/11/main" uri="{B97F6D7D-B522-45F9-BDA1-12C45D357490}">
          <x15:cacheHierarchy aggregatedColumn="13"/>
        </ext>
      </extLst>
    </cacheHierarchy>
    <cacheHierarchy uniqueName="[Measures].[Sum of price_ngn 2]" caption="Sum of price_ngn 2" measure="1" displayFolder="" measureGroup="Table2" count="0" hidden="1">
      <extLst>
        <ext xmlns:x15="http://schemas.microsoft.com/office/spreadsheetml/2010/11/main" uri="{B97F6D7D-B522-45F9-BDA1-12C45D357490}">
          <x15:cacheHierarchy aggregatedColumn="3"/>
        </ext>
      </extLst>
    </cacheHierarchy>
    <cacheHierarchy uniqueName="[Measures].[Count of price_ngn 2]" caption="Count of price_ngn 2" measure="1" displayFolder="" measureGroup="Table2" count="0" hidden="1">
      <extLst>
        <ext xmlns:x15="http://schemas.microsoft.com/office/spreadsheetml/2010/11/main" uri="{B97F6D7D-B522-45F9-BDA1-12C45D357490}">
          <x15:cacheHierarchy aggregatedColumn="3"/>
        </ext>
      </extLst>
    </cacheHierarchy>
    <cacheHierarchy uniqueName="[Measures].[Max of price_ngn]" caption="Max of price_ngn" measure="1" displayFolder="" measureGroup="Table2" count="0" hidden="1">
      <extLst>
        <ext xmlns:x15="http://schemas.microsoft.com/office/spreadsheetml/2010/11/main" uri="{B97F6D7D-B522-45F9-BDA1-12C45D357490}">
          <x15:cacheHierarchy aggregatedColumn="3"/>
        </ext>
      </extLst>
    </cacheHierarchy>
    <cacheHierarchy uniqueName="[Measures].[Min of price_ngn]" caption="Min of price_ngn" measure="1" displayFolder="" measureGroup="Table2" count="0" hidden="1">
      <extLst>
        <ext xmlns:x15="http://schemas.microsoft.com/office/spreadsheetml/2010/11/main" uri="{B97F6D7D-B522-45F9-BDA1-12C45D357490}">
          <x15:cacheHierarchy aggregatedColumn="3"/>
        </ext>
      </extLst>
    </cacheHierarchy>
    <cacheHierarchy uniqueName="[Measures].[Max of price_ngn 2]" caption="Max of price_ngn 2" measure="1" displayFolder="" measureGroup="Table3" count="0" hidden="1">
      <extLst>
        <ext xmlns:x15="http://schemas.microsoft.com/office/spreadsheetml/2010/11/main" uri="{B97F6D7D-B522-45F9-BDA1-12C45D357490}">
          <x15:cacheHierarchy aggregatedColumn="13"/>
        </ext>
      </extLst>
    </cacheHierarchy>
    <cacheHierarchy uniqueName="[Measures].[Min of price_ngn 2]" caption="Min of price_ngn 2" measure="1" displayFolder="" measureGroup="Table3" count="0" hidden="1">
      <extLst>
        <ext xmlns:x15="http://schemas.microsoft.com/office/spreadsheetml/2010/11/main" uri="{B97F6D7D-B522-45F9-BDA1-12C45D357490}">
          <x15:cacheHierarchy aggregatedColumn="13"/>
        </ext>
      </extLst>
    </cacheHierarchy>
    <cacheHierarchy uniqueName="[Measures].[Sum of $246,000,000.00]" caption="Sum of $246,000,000.00" measure="1" displayFolder="" measureGroup="Range" count="0" hidden="1">
      <extLst>
        <ext xmlns:x15="http://schemas.microsoft.com/office/spreadsheetml/2010/11/main" uri="{B97F6D7D-B522-45F9-BDA1-12C45D357490}">
          <x15:cacheHierarchy aggregatedColumn="1"/>
        </ext>
      </extLst>
    </cacheHierarchy>
  </cacheHierarchies>
  <kpis count="0"/>
  <extLst>
    <ext xmlns:x14="http://schemas.microsoft.com/office/spreadsheetml/2009/9/main" uri="{725AE2AE-9491-48be-B2B4-4EB974FC3084}">
      <x14:pivotCacheDefinition slicerData="1" pivotCacheId="120610264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2FA7E38-8FA1-4986-85F5-D4361142B47A}" name="Rental listing count by Property Type" cacheId="528" applyNumberFormats="0" applyBorderFormats="0" applyFontFormats="0" applyPatternFormats="0" applyAlignmentFormats="0" applyWidthHeightFormats="1" dataCaption="Values" tag="93516dcf-7abb-4cd4-b8da-4e0e92ae4729" updatedVersion="8" minRefreshableVersion="3" useAutoFormatting="1" itemPrintTitles="1" createdVersion="8" indent="0" outline="1" outlineData="1" multipleFieldFilters="0" chartFormat="3">
  <location ref="A48:B55" firstHeaderRow="1" firstDataRow="1" firstDataCol="1"/>
  <pivotFields count="3">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7">
    <i>
      <x v="3"/>
    </i>
    <i>
      <x v="4"/>
    </i>
    <i>
      <x/>
    </i>
    <i>
      <x v="1"/>
    </i>
    <i>
      <x v="5"/>
    </i>
    <i>
      <x v="2"/>
    </i>
    <i t="grand">
      <x/>
    </i>
  </rowItems>
  <colItems count="1">
    <i/>
  </colItems>
  <dataFields count="1">
    <dataField name="Count of price_ngn" fld="1" subtotal="count" baseField="0" baseItem="0" numFmtId="3"/>
  </dataFields>
  <formats count="1">
    <format dxfId="38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price_ngn"/>
    <pivotHierarchy dragToData="1" caption="Count of price_ngn"/>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56EA69-ECB6-4B15-90F0-8077BF687D22}" name="Rental listing count by Area" cacheId="525" applyNumberFormats="0" applyBorderFormats="0" applyFontFormats="0" applyPatternFormats="0" applyAlignmentFormats="0" applyWidthHeightFormats="1" dataCaption="Values" tag="af451996-f464-4efb-9f8d-6794dd40777f" updatedVersion="8" minRefreshableVersion="3" useAutoFormatting="1" rowGrandTotals="0" colGrandTotals="0" itemPrintTitles="1" createdVersion="8" indent="0" outline="1" outlineData="1" multipleFieldFilters="0" chartFormat="4">
  <location ref="A26:B42" firstHeaderRow="1" firstDataRow="1" firstDataCol="1"/>
  <pivotFields count="3">
    <pivotField axis="axisRow" allDrilled="1" subtotalTop="0" showAll="0" sortType="a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6">
    <i>
      <x v="1"/>
    </i>
    <i>
      <x v="7"/>
    </i>
    <i>
      <x v="6"/>
    </i>
    <i>
      <x v="5"/>
    </i>
    <i>
      <x v="15"/>
    </i>
    <i>
      <x v="14"/>
    </i>
    <i>
      <x v="9"/>
    </i>
    <i>
      <x v="11"/>
    </i>
    <i>
      <x v="10"/>
    </i>
    <i>
      <x v="8"/>
    </i>
    <i>
      <x v="13"/>
    </i>
    <i>
      <x v="3"/>
    </i>
    <i>
      <x v="2"/>
    </i>
    <i>
      <x v="12"/>
    </i>
    <i>
      <x/>
    </i>
    <i>
      <x v="4"/>
    </i>
  </rowItems>
  <colItems count="1">
    <i/>
  </colItems>
  <dataFields count="1">
    <dataField name="Count of price_ngn" fld="1" subtotal="count" baseField="0" baseItem="14" numFmtId="3"/>
  </dataFields>
  <formats count="1">
    <format dxfId="385">
      <pivotArea outline="0" collapsedLevelsAreSubtotals="1" fieldPosition="0"/>
    </format>
  </formats>
  <chartFormats count="4">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1"/>
          </reference>
        </references>
      </pivotArea>
    </chartFormat>
    <chartFormat chart="3" format="4">
      <pivotArea type="data" outline="0" fieldPosition="0">
        <references count="2">
          <reference field="4294967294" count="1" selected="0">
            <x v="0"/>
          </reference>
          <reference field="0" count="1" selected="0">
            <x v="0"/>
          </reference>
        </references>
      </pivotArea>
    </chartFormat>
    <chartFormat chart="3" format="5">
      <pivotArea type="data" outline="0" fieldPosition="0">
        <references count="2">
          <reference field="4294967294" count="1" selected="0">
            <x v="0"/>
          </reference>
          <reference field="0" count="1" selected="0">
            <x v="12"/>
          </reference>
        </references>
      </pivotArea>
    </chartFormat>
  </chartFormats>
  <pivotHierarchies count="3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price_ngn"/>
    <pivotHierarchy dragToData="1" caption="Count of price_ngn"/>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3C47DD-9E06-4B76-ACC3-986490270165}" name="KPI Rent 3" cacheId="507" applyNumberFormats="0" applyBorderFormats="0" applyFontFormats="0" applyPatternFormats="0" applyAlignmentFormats="0" applyWidthHeightFormats="1" dataCaption="Values" tag="51ebf016-4cc7-4ca5-baa1-6d2f57ce2f8e" updatedVersion="8" minRefreshableVersion="3" useAutoFormatting="1" rowGrandTotals="0" colGrandTotals="0" itemPrintTitles="1" createdVersion="8" indent="0" outline="1" outlineData="1" multipleFieldFilters="0">
  <location ref="I3:K4" firstHeaderRow="0" firstDataRow="1" firstDataCol="1"/>
  <pivotFields count="5">
    <pivotField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1">
        <item x="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1">
    <i>
      <x/>
    </i>
  </rowItems>
  <colFields count="1">
    <field x="-2"/>
  </colFields>
  <colItems count="2">
    <i>
      <x/>
    </i>
    <i i="1">
      <x v="1"/>
    </i>
  </colItems>
  <dataFields count="2">
    <dataField name="Max of price_ngn" fld="2" subtotal="max" baseField="1" baseItem="0"/>
    <dataField name="Min of price_ngn" fld="3" subtotal="min" baseField="1" baseItem="0"/>
  </dataFields>
  <formats count="1">
    <format dxfId="386">
      <pivotArea outline="0" collapsedLevelsAreSubtotals="1" fieldPosition="0"/>
    </format>
  </formats>
  <pivotHierarchies count="3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price_ngn"/>
    <pivotHierarchy dragToData="1" caption="Max of price_ngn"/>
    <pivotHierarchy dragToData="1" caption="Min of price_ngn"/>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90D0F2-B336-48CC-A784-58BAAEAE045E}" name="KPI Rent1" cacheId="510" applyNumberFormats="0" applyBorderFormats="0" applyFontFormats="0" applyPatternFormats="0" applyAlignmentFormats="0" applyWidthHeightFormats="1" dataCaption="Values" tag="1f24eb6c-34e1-40a4-ab42-114dc1f65841" updatedVersion="8" minRefreshableVersion="3" useAutoFormatting="1" rowGrandTotals="0" colGrandTotals="0" itemPrintTitles="1" createdVersion="8" indent="0" outline="1" outlineData="1" multipleFieldFilters="0">
  <location ref="I8:J9" firstHeaderRow="1" firstDataRow="1" firstDataCol="1"/>
  <pivotFields count="4">
    <pivotField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s>
  <rowFields count="1">
    <field x="1"/>
  </rowFields>
  <rowItems count="1">
    <i>
      <x/>
    </i>
  </rowItems>
  <colItems count="1">
    <i/>
  </colItems>
  <dataFields count="1">
    <dataField name="Count of price_ngn" fld="2" subtotal="count" baseField="1" baseItem="0" numFmtId="4"/>
  </dataFields>
  <formats count="1">
    <format dxfId="387">
      <pivotArea outline="0" collapsedLevelsAreSubtotals="1" fieldPosition="0"/>
    </format>
  </formats>
  <pivotHierarchies count="3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price_ngn"/>
    <pivotHierarchy dragToData="1" caption="Max of price_ngn"/>
    <pivotHierarchy dragToData="1" caption="Min of price_ngn"/>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189F2A8-61EF-4DC9-BB77-694262E58F8B}" name="KPI Rent2" cacheId="513" applyNumberFormats="0" applyBorderFormats="0" applyFontFormats="0" applyPatternFormats="0" applyAlignmentFormats="0" applyWidthHeightFormats="1" dataCaption="Values" tag="d34d6d43-5af1-4b72-9cb4-2d8891cb92ff" updatedVersion="8" minRefreshableVersion="3" useAutoFormatting="1" rowGrandTotals="0" colGrandTotals="0" itemPrintTitles="1" createdVersion="8" indent="0" outline="1" outlineData="1" multipleFieldFilters="0">
  <location ref="I12:K13" firstHeaderRow="0" firstDataRow="1" firstDataCol="1"/>
  <pivotFields count="5">
    <pivotField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1">
        <item x="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1">
    <i>
      <x/>
    </i>
  </rowItems>
  <colFields count="1">
    <field x="-2"/>
  </colFields>
  <colItems count="2">
    <i>
      <x/>
    </i>
    <i i="1">
      <x v="1"/>
    </i>
  </colItems>
  <dataFields count="2">
    <dataField name="Count of price_ngn" fld="2" subtotal="count" baseField="1" baseItem="0" numFmtId="4"/>
    <dataField fld="3" subtotal="count" baseField="0" baseItem="0"/>
  </dataFields>
  <formats count="1">
    <format dxfId="388">
      <pivotArea outline="0" collapsedLevelsAreSubtotals="1" fieldPosition="0"/>
    </format>
  </formats>
  <pivotHierarchies count="3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price_ngn"/>
    <pivotHierarchy dragToData="1" caption="Max of price_ngn"/>
    <pivotHierarchy dragToData="1" caption="Min of price_ngn"/>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A1A5F2E-C3E2-4F31-8E0B-21CE9EC8D9AA}" name="Rental price distribution by Area" cacheId="531" applyNumberFormats="0" applyBorderFormats="0" applyFontFormats="0" applyPatternFormats="0" applyAlignmentFormats="0" applyWidthHeightFormats="1" dataCaption="Values" tag="0240a66f-253c-4eb9-b540-a06eb76e0df3" updatedVersion="8" minRefreshableVersion="3" useAutoFormatting="1" subtotalHiddenItems="1" rowGrandTotals="0" colGrandTotals="0" itemPrintTitles="1" createdVersion="8" indent="0" outline="1" outlineData="1" multipleFieldFilters="0">
  <location ref="A61:B77" firstHeaderRow="1" firstDataRow="1" firstDataCol="1"/>
  <pivotFields count="3">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6">
    <i>
      <x v="15"/>
    </i>
    <i>
      <x v="9"/>
    </i>
    <i>
      <x v="13"/>
    </i>
    <i>
      <x v="8"/>
    </i>
    <i>
      <x v="4"/>
    </i>
    <i>
      <x v="6"/>
    </i>
    <i>
      <x v="5"/>
    </i>
    <i>
      <x v="10"/>
    </i>
    <i>
      <x v="2"/>
    </i>
    <i>
      <x v="14"/>
    </i>
    <i>
      <x/>
    </i>
    <i>
      <x v="1"/>
    </i>
    <i>
      <x v="11"/>
    </i>
    <i>
      <x v="3"/>
    </i>
    <i>
      <x v="12"/>
    </i>
    <i>
      <x v="7"/>
    </i>
  </rowItems>
  <colItems count="1">
    <i/>
  </colItems>
  <dataFields count="1">
    <dataField fld="1" subtotal="count" baseField="0" baseItem="0"/>
  </dataFields>
  <formats count="1">
    <format dxfId="389">
      <pivotArea outline="0" collapsedLevelsAreSubtotals="1" fieldPosition="0"/>
    </format>
  </formats>
  <pivotHierarchies count="3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price_ngn"/>
    <pivotHierarchy dragToData="1" caption="Count of price_ngn"/>
    <pivotHierarchy dragToData="1" caption="Max of price_ngn"/>
    <pivotHierarchy dragToData="1" caption="Min of price_ngn"/>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2]"/>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B0AD5A0-D71F-49C9-8B4E-0F0C887C1AF6}" name="Median Annual rent by Bedroom Count" cacheId="519" applyNumberFormats="0" applyBorderFormats="0" applyFontFormats="0" applyPatternFormats="0" applyAlignmentFormats="0" applyWidthHeightFormats="1" dataCaption="Values" tag="7b019bac-b0ac-4d4c-8761-67c6f0296370" updatedVersion="8" minRefreshableVersion="3" useAutoFormatting="1" itemPrintTitles="1" createdVersion="8" indent="0" outline="1" outlineData="1" multipleFieldFilters="0" chartFormat="12">
  <location ref="D26:E35" firstHeaderRow="1" firstDataRow="1" firstDataCol="1"/>
  <pivotFields count="4">
    <pivotField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9">
    <i>
      <x v="7"/>
    </i>
    <i>
      <x v="6"/>
    </i>
    <i>
      <x v="5"/>
    </i>
    <i>
      <x v="4"/>
    </i>
    <i>
      <x v="3"/>
    </i>
    <i>
      <x v="2"/>
    </i>
    <i>
      <x v="1"/>
    </i>
    <i>
      <x/>
    </i>
    <i t="grand">
      <x/>
    </i>
  </rowItems>
  <colItems count="1">
    <i/>
  </colItems>
  <dataFields count="1">
    <dataField fld="1" subtotal="count" baseField="0" baseItem="0"/>
  </dataFields>
  <formats count="1">
    <format dxfId="390">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price_ngn"/>
    <pivotHierarchy dragToData="1" caption="Count of price_ngn"/>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3839BE4-D06E-4CE8-8CF2-DFD00E267EAE}" name="Median Annual rent by Area" cacheId="516" applyNumberFormats="0" applyBorderFormats="0" applyFontFormats="0" applyPatternFormats="0" applyAlignmentFormats="0" applyWidthHeightFormats="1" dataCaption="Values" tag="63dc7e60-7a1b-419f-b442-3c9ad9a74335" updatedVersion="8" minRefreshableVersion="3" useAutoFormatting="1" rowGrandTotals="0" colGrandTotals="0" itemPrintTitles="1" createdVersion="8" indent="0" outline="1" outlineData="1" multipleFieldFilters="0" chartFormat="10">
  <location ref="A4:B20" firstHeaderRow="1" firstDataRow="1" firstDataCol="1"/>
  <pivotFields count="3">
    <pivotField axis="axisRow" allDrilled="1" subtotalTop="0" showAll="0" sortType="a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6">
    <i>
      <x v="9"/>
    </i>
    <i>
      <x v="12"/>
    </i>
    <i>
      <x v="2"/>
    </i>
    <i>
      <x/>
    </i>
    <i>
      <x v="11"/>
    </i>
    <i>
      <x v="5"/>
    </i>
    <i>
      <x v="3"/>
    </i>
    <i>
      <x v="7"/>
    </i>
    <i>
      <x v="10"/>
    </i>
    <i>
      <x v="6"/>
    </i>
    <i>
      <x v="14"/>
    </i>
    <i>
      <x v="4"/>
    </i>
    <i>
      <x v="1"/>
    </i>
    <i>
      <x v="8"/>
    </i>
    <i>
      <x v="15"/>
    </i>
    <i>
      <x v="13"/>
    </i>
  </rowItems>
  <colItems count="1">
    <i/>
  </colItems>
  <dataFields count="1">
    <dataField fld="1" subtotal="count" baseField="0" baseItem="0" numFmtId="8"/>
  </dataFields>
  <formats count="1">
    <format dxfId="391">
      <pivotArea outline="0" collapsedLevelsAreSubtotals="1" fieldPosition="0"/>
    </format>
  </formats>
  <chartFormats count="1">
    <chartFormat chart="2" format="3"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price_ngn"/>
    <pivotHierarchy dragToData="1" caption="Count of price_ngn"/>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59E2EEA-F23E-4C2A-A96E-6DB50998B48F}" name="Rental Listings by Price Tier" cacheId="504" applyNumberFormats="0" applyBorderFormats="0" applyFontFormats="0" applyPatternFormats="0" applyAlignmentFormats="0" applyWidthHeightFormats="1" dataCaption="Values" tag="ca998415-f3d2-446e-b3fc-b4fbd7398970" updatedVersion="8" minRefreshableVersion="3" useAutoFormatting="1" rowGrandTotals="0" colGrandTotals="0" itemPrintTitles="1" createdVersion="8" indent="0" outline="1" outlineData="1" multipleFieldFilters="0" chartFormat="9">
  <location ref="D4:E8" firstHeaderRow="1" firstDataRow="1" firstDataCol="1"/>
  <pivotFields count="3">
    <pivotField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efaultSubtotal="0" defaultAttributeDrillState="1">
      <items count="4">
        <item x="2"/>
        <item x="0"/>
        <item x="1"/>
        <item x="3"/>
      </items>
    </pivotField>
  </pivotFields>
  <rowFields count="1">
    <field x="2"/>
  </rowFields>
  <rowItems count="4">
    <i>
      <x/>
    </i>
    <i>
      <x v="1"/>
    </i>
    <i>
      <x v="2"/>
    </i>
    <i>
      <x v="3"/>
    </i>
  </rowItems>
  <colItems count="1">
    <i/>
  </colItems>
  <dataFields count="1">
    <dataField name="Count of price_ngn"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price_ngn"/>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81FA74-88E5-42B2-8922-1AEF7D37B8C6}" name="Median Annual rent by Property Type" cacheId="522" applyNumberFormats="0" applyBorderFormats="0" applyFontFormats="0" applyPatternFormats="0" applyAlignmentFormats="0" applyWidthHeightFormats="1" dataCaption="Values" tag="72c86fd4-6a96-451b-9da3-fa4732d6cf26" updatedVersion="8" minRefreshableVersion="3" useAutoFormatting="1" itemPrintTitles="1" createdVersion="8" indent="0" outline="1" outlineData="1" multipleFieldFilters="0" chartFormat="10">
  <location ref="D48:E55" firstHeaderRow="1" firstDataRow="1" firstDataCol="1"/>
  <pivotFields count="4">
    <pivotField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7">
    <i>
      <x v="1"/>
    </i>
    <i>
      <x v="4"/>
    </i>
    <i>
      <x v="5"/>
    </i>
    <i>
      <x v="3"/>
    </i>
    <i>
      <x/>
    </i>
    <i>
      <x v="2"/>
    </i>
    <i t="grand">
      <x/>
    </i>
  </rowItems>
  <colItems count="1">
    <i/>
  </colItems>
  <dataFields count="1">
    <dataField fld="1" subtotal="count" baseField="0" baseItem="0"/>
  </dataFields>
  <formats count="1">
    <format dxfId="392">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price_ngn"/>
    <pivotHierarchy dragToData="1" caption="Count of price_ngn"/>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49F9783-773E-49B9-8433-C6F1739C2181}" name="Sale Listings by Property Type" cacheId="1584" applyNumberFormats="0" applyBorderFormats="0" applyFontFormats="0" applyPatternFormats="0" applyAlignmentFormats="0" applyWidthHeightFormats="1" dataCaption="Values" tag="3113f9f0-0ea9-4664-861f-28b1fdcd1d57" updatedVersion="8" minRefreshableVersion="3" useAutoFormatting="1" itemPrintTitles="1" createdVersion="8" indent="0" outline="1" outlineData="1" multipleFieldFilters="0" chartFormat="3">
  <location ref="A63:B71" firstHeaderRow="1" firstDataRow="1" firstDataCol="1"/>
  <pivotFields count="3">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1"/>
    </i>
    <i>
      <x v="2"/>
    </i>
    <i>
      <x v="6"/>
    </i>
    <i>
      <x v="3"/>
    </i>
    <i>
      <x/>
    </i>
    <i>
      <x v="5"/>
    </i>
    <i>
      <x v="4"/>
    </i>
    <i t="grand">
      <x/>
    </i>
  </rowItems>
  <colItems count="1">
    <i/>
  </colItems>
  <dataFields count="1">
    <dataField name="Count of price_ngn" fld="1" subtotal="count" baseField="0" baseItem="0" numFmtId="3"/>
  </dataFields>
  <formats count="1">
    <format dxfId="377">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um of price_ngn"/>
    <pivotHierarchy dragToData="1" caption="Count of price_ng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BA1EFEE-38B0-4A72-8973-ACCBD3C71506}" name="KPI Sale 3" cacheId="1566" applyNumberFormats="0" applyBorderFormats="0" applyFontFormats="0" applyPatternFormats="0" applyAlignmentFormats="0" applyWidthHeightFormats="1" dataCaption="Values" tag="0035ab71-6ccc-4db9-bb9e-43b691558d9d" updatedVersion="8" minRefreshableVersion="3" useAutoFormatting="1" itemPrintTitles="1" createdVersion="8" indent="0" outline="1" outlineData="1" multipleFieldFilters="0">
  <location ref="I11:J13" firstHeaderRow="1" firstDataRow="1" firstDataCol="1"/>
  <pivotFields count="3">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s>
  <rowFields count="1">
    <field x="0"/>
  </rowFields>
  <rowItems count="2">
    <i>
      <x/>
    </i>
    <i t="grand">
      <x/>
    </i>
  </rowItems>
  <colItems count="1">
    <i/>
  </colItems>
  <dataFields count="1">
    <dataField name="Min of price_ngn" fld="1" subtotal="min" baseField="0" baseItem="0" numFmtId="8"/>
  </dataFields>
  <formats count="1">
    <format dxfId="378">
      <pivotArea outline="0" collapsedLevelsAreSubtotals="1" fieldPosition="0"/>
    </format>
  </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ice_ngn"/>
    <pivotHierarchy dragToData="1"/>
    <pivotHierarchy dragToData="1"/>
    <pivotHierarchy dragToData="1"/>
    <pivotHierarchy dragToData="1"/>
    <pivotHierarchy dragToData="1"/>
    <pivotHierarchy dragToData="1" caption="Min of price_ngn"/>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3EF948D-DEEA-422C-9DA3-EE8353BF8171}" name="PivotTable8" cacheId="1587" applyNumberFormats="0" applyBorderFormats="0" applyFontFormats="0" applyPatternFormats="0" applyAlignmentFormats="0" applyWidthHeightFormats="1" dataCaption="Values" tag="bfac0eea-207e-4d8a-888d-d415b167d952" updatedVersion="8" minRefreshableVersion="3" useAutoFormatting="1" rowGrandTotals="0" colGrandTotals="0" itemPrintTitles="1" createdVersion="8" indent="0" outline="1" outlineData="1" multipleFieldFilters="0" chartFormat="10">
  <location ref="D63:E72" firstHeaderRow="1" firstDataRow="1" firstDataCol="1"/>
  <pivotFields count="3">
    <pivotField axis="axisRow" allDrilled="1" subtotalTop="0" showAll="0" sortType="ascending" defaultSubtotal="0" defaultAttributeDrillState="1">
      <items count="9">
        <item x="0"/>
        <item x="1"/>
        <item x="2"/>
        <item x="3"/>
        <item x="4"/>
        <item x="5"/>
        <item x="6"/>
        <item x="7"/>
        <item x="8"/>
      </items>
    </pivotField>
    <pivotField dataField="1" subtotalTop="0" showAll="0" defaultSubtotal="0"/>
    <pivotField allDrilled="1" subtotalTop="0" showAll="0" dataSourceSort="1" defaultSubtotal="0" defaultAttributeDrillState="1"/>
  </pivotFields>
  <rowFields count="1">
    <field x="0"/>
  </rowFields>
  <rowItems count="9">
    <i>
      <x/>
    </i>
    <i>
      <x v="1"/>
    </i>
    <i>
      <x v="2"/>
    </i>
    <i>
      <x v="3"/>
    </i>
    <i>
      <x v="4"/>
    </i>
    <i>
      <x v="5"/>
    </i>
    <i>
      <x v="6"/>
    </i>
    <i>
      <x v="7"/>
    </i>
    <i>
      <x v="8"/>
    </i>
  </rowItems>
  <colItems count="1">
    <i/>
  </colItems>
  <dataFields count="1">
    <dataField name="Count of price_ngn" fld="1" subtotal="count" baseField="0" baseItem="0" numFmtId="3"/>
  </dataFields>
  <formats count="1">
    <format dxfId="379">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um of price_ngn"/>
    <pivotHierarchy dragToData="1" caption="Count of price_ng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2946E5A-AE47-4FE4-9BE4-86C5600E73CC}" name="KPI Sale 1" cacheId="1560" applyNumberFormats="0" applyBorderFormats="0" applyFontFormats="0" applyPatternFormats="0" applyAlignmentFormats="0" applyWidthHeightFormats="1" dataCaption="Values" tag="0035ab71-6ccc-4db9-bb9e-43b691558d9d" updatedVersion="8" minRefreshableVersion="3" useAutoFormatting="1" itemPrintTitles="1" createdVersion="8" indent="0" outline="1" outlineData="1" multipleFieldFilters="0">
  <location ref="I1:J3" firstHeaderRow="1" firstDataRow="1" firstDataCol="1"/>
  <pivotFields count="4">
    <pivotField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s>
  <rowFields count="1">
    <field x="2"/>
  </rowFields>
  <rowItems count="2">
    <i>
      <x/>
    </i>
    <i t="grand">
      <x/>
    </i>
  </rowItems>
  <colItems count="1">
    <i/>
  </colItems>
  <dataFields count="1">
    <dataField name="Count of price_ngn" fld="1" subtotal="count" baseField="0" baseItem="0"/>
  </dataField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ice_ng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D353144-EE7D-404E-9A76-F232FFFAFB8B}" name="Median Sale Price by Property Type" cacheId="1578" applyNumberFormats="0" applyBorderFormats="0" applyFontFormats="0" applyPatternFormats="0" applyAlignmentFormats="0" applyWidthHeightFormats="1" dataCaption="Values" tag="deefb455-7595-4f05-bb49-dee2e39ebecd" updatedVersion="8" minRefreshableVersion="3" useAutoFormatting="1" itemPrintTitles="1" createdVersion="8" indent="0" outline="1" outlineData="1" multipleFieldFilters="0" chartFormat="6">
  <location ref="D48:E56" firstHeaderRow="1" firstDataRow="1" firstDataCol="1"/>
  <pivotFields count="5">
    <pivotField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8">
    <i>
      <x v="4"/>
    </i>
    <i>
      <x v="1"/>
    </i>
    <i>
      <x v="3"/>
    </i>
    <i>
      <x v="6"/>
    </i>
    <i>
      <x v="5"/>
    </i>
    <i>
      <x/>
    </i>
    <i>
      <x v="2"/>
    </i>
    <i t="grand">
      <x/>
    </i>
  </rowItems>
  <colItems count="1">
    <i/>
  </colItems>
  <dataFields count="1">
    <dataField fld="1" subtotal="count" baseField="0" baseItem="0"/>
  </dataFields>
  <formats count="1">
    <format dxfId="380">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um of price_ngn"/>
    <pivotHierarchy dragToData="1" caption="Count of price_ng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B5E5778-0760-4066-8AB7-80D8645AC2E8}" name="KPI Sale 2" cacheId="1563" applyNumberFormats="0" applyBorderFormats="0" applyFontFormats="0" applyPatternFormats="0" applyAlignmentFormats="0" applyWidthHeightFormats="1" dataCaption="Values" tag="0035ab71-6ccc-4db9-bb9e-43b691558d9d" updatedVersion="8" minRefreshableVersion="3" useAutoFormatting="1" itemPrintTitles="1" createdVersion="8" indent="0" outline="1" outlineData="1" multipleFieldFilters="0">
  <location ref="I6:J8" firstHeaderRow="1" firstDataRow="1" firstDataCol="1"/>
  <pivotFields count="3">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s>
  <rowFields count="1">
    <field x="0"/>
  </rowFields>
  <rowItems count="2">
    <i>
      <x/>
    </i>
    <i t="grand">
      <x/>
    </i>
  </rowItems>
  <colItems count="1">
    <i/>
  </colItems>
  <dataFields count="1">
    <dataField fld="1" subtotal="count" baseField="0" baseItem="0"/>
  </dataField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ice_ng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D553B72-C813-41CD-A4E9-134E0881F103}" name="KPI Sale 4" cacheId="1569" applyNumberFormats="0" applyBorderFormats="0" applyFontFormats="0" applyPatternFormats="0" applyAlignmentFormats="0" applyWidthHeightFormats="1" dataCaption="Values" tag="0035ab71-6ccc-4db9-bb9e-43b691558d9d" updatedVersion="8" minRefreshableVersion="3" useAutoFormatting="1" itemPrintTitles="1" createdVersion="8" indent="0" outline="1" outlineData="1" multipleFieldFilters="0">
  <location ref="I16:J18" firstHeaderRow="1" firstDataRow="1" firstDataCol="1"/>
  <pivotFields count="3">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s>
  <rowFields count="1">
    <field x="0"/>
  </rowFields>
  <rowItems count="2">
    <i>
      <x/>
    </i>
    <i t="grand">
      <x/>
    </i>
  </rowItems>
  <colItems count="1">
    <i/>
  </colItems>
  <dataFields count="1">
    <dataField name="Max of price_ngn" fld="1" subtotal="max" baseField="0" baseItem="0" numFmtId="8"/>
  </dataFields>
  <formats count="1">
    <format dxfId="381">
      <pivotArea outline="0" collapsedLevelsAreSubtotals="1" fieldPosition="0"/>
    </format>
  </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ice_ngn"/>
    <pivotHierarchy dragToData="1"/>
    <pivotHierarchy dragToData="1"/>
    <pivotHierarchy dragToData="1"/>
    <pivotHierarchy dragToData="1"/>
    <pivotHierarchy dragToData="1" caption="Max of price_ngn"/>
    <pivotHierarchy dragToData="1" caption="Min of price_ngn"/>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6153030-92C9-4EB1-BA78-AC33F60A6C6E}" name="Sale Listing Count by Area" cacheId="1581" applyNumberFormats="0" applyBorderFormats="0" applyFontFormats="0" applyPatternFormats="0" applyAlignmentFormats="0" applyWidthHeightFormats="1" dataCaption="Values" tag="84a11c5a-b998-48aa-94d8-7c8b008f3a04" updatedVersion="8" minRefreshableVersion="3" useAutoFormatting="1" itemPrintTitles="1" createdVersion="8" indent="0" outline="1" outlineData="1" multipleFieldFilters="0" chartFormat="3">
  <location ref="A26:B43" firstHeaderRow="1" firstDataRow="1" firstDataCol="1"/>
  <pivotFields count="3">
    <pivotField axis="axisRow" allDrilled="1" subtotalTop="0" showAll="0" sortType="a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7">
    <i>
      <x v="13"/>
    </i>
    <i>
      <x v="12"/>
    </i>
    <i>
      <x v="1"/>
    </i>
    <i>
      <x v="14"/>
    </i>
    <i>
      <x v="6"/>
    </i>
    <i>
      <x v="8"/>
    </i>
    <i>
      <x v="9"/>
    </i>
    <i>
      <x v="15"/>
    </i>
    <i>
      <x v="4"/>
    </i>
    <i>
      <x/>
    </i>
    <i>
      <x v="7"/>
    </i>
    <i>
      <x v="5"/>
    </i>
    <i>
      <x v="2"/>
    </i>
    <i>
      <x v="10"/>
    </i>
    <i>
      <x v="3"/>
    </i>
    <i>
      <x v="11"/>
    </i>
    <i t="grand">
      <x/>
    </i>
  </rowItems>
  <colItems count="1">
    <i/>
  </colItems>
  <dataFields count="1">
    <dataField name="Count of price_ngn"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ice_ng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77BBA74-9E77-44A6-8D63-6EDC8A3751F1}" name="Median Sale Price by Area" cacheId="1572" applyNumberFormats="0" applyBorderFormats="0" applyFontFormats="0" applyPatternFormats="0" applyAlignmentFormats="0" applyWidthHeightFormats="1" dataCaption="Values" tag="c3147274-0ff5-4fbf-8b58-b030e3632941" updatedVersion="8" minRefreshableVersion="3" useAutoFormatting="1" rowGrandTotals="0" colGrandTotals="0" itemPrintTitles="1" createdVersion="8" indent="0" outline="1" outlineData="1" multipleFieldFilters="0" chartFormat="6">
  <location ref="A4:B20" firstHeaderRow="1" firstDataRow="1" firstDataCol="1"/>
  <pivotFields count="3">
    <pivotField axis="axisRow" allDrilled="1" subtotalTop="0" showAll="0" sortType="a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6">
    <i>
      <x v="9"/>
    </i>
    <i>
      <x v="12"/>
    </i>
    <i>
      <x v="2"/>
    </i>
    <i>
      <x v="11"/>
    </i>
    <i>
      <x v="3"/>
    </i>
    <i>
      <x/>
    </i>
    <i>
      <x v="10"/>
    </i>
    <i>
      <x v="7"/>
    </i>
    <i>
      <x v="5"/>
    </i>
    <i>
      <x v="6"/>
    </i>
    <i>
      <x v="8"/>
    </i>
    <i>
      <x v="4"/>
    </i>
    <i>
      <x v="13"/>
    </i>
    <i>
      <x v="14"/>
    </i>
    <i>
      <x v="15"/>
    </i>
    <i>
      <x v="1"/>
    </i>
  </rowItems>
  <colItems count="1">
    <i/>
  </colItems>
  <dataFields count="1">
    <dataField fld="1" subtotal="count" baseField="0" baseItem="0"/>
  </dataFields>
  <formats count="1">
    <format dxfId="382">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um of price_ngn"/>
    <pivotHierarchy dragToData="1" caption="Count of price_ng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1247DB9-E0E7-42FF-9C4C-401B24CEB437}" name="Median Sale Price by Bedroom Count" cacheId="1575" applyNumberFormats="0" applyBorderFormats="0" applyFontFormats="0" applyPatternFormats="0" applyAlignmentFormats="0" applyWidthHeightFormats="1" dataCaption="Values" tag="bfac0eea-207e-4d8a-888d-d415b167d952" updatedVersion="8" minRefreshableVersion="3" useAutoFormatting="1" itemPrintTitles="1" createdVersion="8" indent="0" outline="1" outlineData="1" multipleFieldFilters="0" chartFormat="7">
  <location ref="A48:B58" firstHeaderRow="1" firstDataRow="1" firstDataCol="1"/>
  <pivotFields count="4">
    <pivotField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9">
        <item x="8"/>
        <item x="7"/>
        <item x="6"/>
        <item x="5"/>
        <item x="4"/>
        <item x="3"/>
        <item x="2"/>
        <item x="1"/>
        <item x="0"/>
      </items>
    </pivotField>
    <pivotField allDrilled="1" subtotalTop="0" showAll="0" dataSourceSort="1" defaultSubtotal="0" defaultAttributeDrillState="1"/>
  </pivotFields>
  <rowFields count="1">
    <field x="2"/>
  </rowFields>
  <rowItems count="10">
    <i>
      <x/>
    </i>
    <i>
      <x v="1"/>
    </i>
    <i>
      <x v="2"/>
    </i>
    <i>
      <x v="3"/>
    </i>
    <i>
      <x v="4"/>
    </i>
    <i>
      <x v="5"/>
    </i>
    <i>
      <x v="6"/>
    </i>
    <i>
      <x v="7"/>
    </i>
    <i>
      <x v="8"/>
    </i>
    <i t="grand">
      <x/>
    </i>
  </rowItems>
  <colItems count="1">
    <i/>
  </colItems>
  <dataFields count="1">
    <dataField fld="1" subtotal="count" baseField="0" baseItem="0"/>
  </dataFields>
  <formats count="1">
    <format dxfId="383">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um of price_ngn"/>
    <pivotHierarchy dragToData="1" caption="Count of price_ng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7EFE0B7-CC23-4A21-A101-4C8FAF07A6C3}" name="Sale Listing Count by Price Tier" cacheId="1557" applyNumberFormats="0" applyBorderFormats="0" applyFontFormats="0" applyPatternFormats="0" applyAlignmentFormats="0" applyWidthHeightFormats="1" dataCaption="Values" tag="0035ab71-6ccc-4db9-bb9e-43b691558d9d" updatedVersion="8" minRefreshableVersion="3" useAutoFormatting="1" itemPrintTitles="1" createdVersion="8" indent="0" outline="1" outlineData="1" multipleFieldFilters="0" chartFormat="6">
  <location ref="D4:E9" firstHeaderRow="1" firstDataRow="1" firstDataCol="1"/>
  <pivotFields count="3">
    <pivotField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defaultAttributeDrillState="1">
      <items count="4">
        <item x="0"/>
        <item x="1"/>
        <item x="2"/>
        <item x="3"/>
      </items>
    </pivotField>
  </pivotFields>
  <rowFields count="1">
    <field x="2"/>
  </rowFields>
  <rowItems count="5">
    <i>
      <x/>
    </i>
    <i>
      <x v="1"/>
    </i>
    <i>
      <x v="2"/>
    </i>
    <i>
      <x v="3"/>
    </i>
    <i t="grand">
      <x/>
    </i>
  </rowItems>
  <colItems count="1">
    <i/>
  </colItems>
  <dataFields count="1">
    <dataField name="Count of price_ngn"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ice_ngn"/>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roundwork_abuja_housing_v1.csv.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040BD9CE-8229-4C0A-9FD6-79442C3D5CAD}" sourceName="[Table2].[area]">
  <pivotTables>
    <pivotTable tabId="6" name="Rental Listings by Price Tier"/>
    <pivotTable tabId="6" name="KPI Rent 3"/>
    <pivotTable tabId="6" name="KPI Rent1"/>
    <pivotTable tabId="6" name="KPI Rent2"/>
    <pivotTable tabId="6" name="Median Annual rent by Area"/>
    <pivotTable tabId="6" name="Median Annual rent by Bedroom Count"/>
    <pivotTable tabId="6" name="Median Annual rent by Property Type"/>
    <pivotTable tabId="6" name="Rental listing count by Area"/>
    <pivotTable tabId="6" name="Rental listing count by Property Type"/>
    <pivotTable tabId="6" name="Rental price distribution by Area"/>
  </pivotTables>
  <data>
    <olap pivotCacheId="1206102643">
      <levels count="2">
        <level uniqueName="[Table2].[area].[(All)]" sourceCaption="(All)" count="0"/>
        <level uniqueName="[Table2].[area].[area]" sourceCaption="area" count="16">
          <ranges>
            <range startItem="0">
              <i n="[Table2].[area].&amp;[Apo]" c="Apo"/>
              <i n="[Table2].[area].&amp;[Asokoro]" c="Asokoro"/>
              <i n="[Table2].[area].&amp;[Dawaki]" c="Dawaki"/>
              <i n="[Table2].[area].&amp;[Galadimawa]" c="Galadimawa"/>
              <i n="[Table2].[area].&amp;[Guzape]" c="Guzape"/>
              <i n="[Table2].[area].&amp;[Gwarinpa]" c="Gwarinpa"/>
              <i n="[Table2].[area].&amp;[Jabi]" c="Jabi"/>
              <i n="[Table2].[area].&amp;[Karsana]" c="Karsana"/>
              <i n="[Table2].[area].&amp;[Katampe]" c="Katampe"/>
              <i n="[Table2].[area].&amp;[Kubwa]" c="Kubwa"/>
              <i n="[Table2].[area].&amp;[Life-Camp]" c="Life-Camp"/>
              <i n="[Table2].[area].&amp;[Lokogoma]" c="Lokogoma"/>
              <i n="[Table2].[area].&amp;[Lugbe]" c="Lugbe"/>
              <i n="[Table2].[area].&amp;[Maitama]" c="Maitama"/>
              <i n="[Table2].[area].&amp;[Utako]" c="Utako"/>
              <i n="[Table2].[area].&amp;[Wuse-2]" c="Wuse-2"/>
            </range>
          </ranges>
        </level>
      </levels>
      <selections count="1">
        <selection n="[Table2].[area].[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Tier" xr10:uid="{583117B5-47F9-402B-B1A8-18DAE45F6587}" sourceName="[Table2].[Price Tier]">
  <pivotTables>
    <pivotTable tabId="6" name="Rental Listings by Price Tier"/>
    <pivotTable tabId="6" name="KPI Rent 3"/>
    <pivotTable tabId="6" name="KPI Rent1"/>
    <pivotTable tabId="6" name="KPI Rent2"/>
    <pivotTable tabId="6" name="Median Annual rent by Area"/>
    <pivotTable tabId="6" name="Median Annual rent by Bedroom Count"/>
    <pivotTable tabId="6" name="Median Annual rent by Property Type"/>
    <pivotTable tabId="6" name="Rental listing count by Area"/>
    <pivotTable tabId="6" name="Rental listing count by Property Type"/>
    <pivotTable tabId="6" name="Rental price distribution by Area"/>
  </pivotTables>
  <data>
    <olap pivotCacheId="1206102643">
      <levels count="2">
        <level uniqueName="[Table2].[Price Tier].[(All)]" sourceCaption="(All)" count="0"/>
        <level uniqueName="[Table2].[Price Tier].[Price Tier]" sourceCaption="Price Tier" count="4">
          <ranges>
            <range startItem="0">
              <i n="[Table2].[Price Tier].&amp;[₦15M to below ₦40M]" c="₦15M to below ₦40M"/>
              <i n="[Table2].[Price Tier].&amp;[₦40M and above]" c="₦40M and above"/>
              <i n="[Table2].[Price Tier].&amp;[₦5M to below ₦15M]" c="₦5M to below ₦15M"/>
              <i n="[Table2].[Price Tier].&amp;[Below ₦5M]" c="Below ₦5M"/>
            </range>
          </ranges>
        </level>
      </levels>
      <selections count="1">
        <selection n="[Table2].[Price Ti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1" xr10:uid="{787A294C-BC13-4CB8-A4F3-58E804FD31B2}" sourceName="[Table3].[area]">
  <pivotTables>
    <pivotTable tabId="5" name="Sale Listing Count by Price Tier"/>
    <pivotTable tabId="5" name="KPI Sale 1"/>
    <pivotTable tabId="5" name="KPI Sale 2"/>
    <pivotTable tabId="5" name="KPI Sale 3"/>
    <pivotTable tabId="5" name="KPI Sale 4"/>
    <pivotTable tabId="5" name="Median Sale Price by Area"/>
    <pivotTable tabId="5" name="Median Sale Price by Bedroom Count"/>
    <pivotTable tabId="5" name="Median Sale Price by Property Type"/>
    <pivotTable tabId="5" name="Sale Listing Count by Area"/>
    <pivotTable tabId="5" name="Sale Listings by Property Type"/>
    <pivotTable tabId="5" name="PivotTable8"/>
  </pivotTables>
  <data>
    <olap pivotCacheId="1206102643">
      <levels count="2">
        <level uniqueName="[Table3].[area].[(All)]" sourceCaption="(All)" count="0"/>
        <level uniqueName="[Table3].[area].[area]" sourceCaption="area" count="16">
          <ranges>
            <range startItem="0">
              <i n="[Table3].[area].&amp;[Apo]" c="Apo"/>
              <i n="[Table3].[area].&amp;[Asokoro]" c="Asokoro"/>
              <i n="[Table3].[area].&amp;[Dawaki]" c="Dawaki"/>
              <i n="[Table3].[area].&amp;[Galadimawa]" c="Galadimawa"/>
              <i n="[Table3].[area].&amp;[Guzape]" c="Guzape"/>
              <i n="[Table3].[area].&amp;[Gwarinpa]" c="Gwarinpa"/>
              <i n="[Table3].[area].&amp;[Jabi]" c="Jabi"/>
              <i n="[Table3].[area].&amp;[Karsana]" c="Karsana"/>
              <i n="[Table3].[area].&amp;[Katampe]" c="Katampe"/>
              <i n="[Table3].[area].&amp;[Kubwa]" c="Kubwa"/>
              <i n="[Table3].[area].&amp;[Life-Camp]" c="Life-Camp"/>
              <i n="[Table3].[area].&amp;[Lokogoma]" c="Lokogoma"/>
              <i n="[Table3].[area].&amp;[Lugbe]" c="Lugbe"/>
              <i n="[Table3].[area].&amp;[Maitama]" c="Maitama"/>
              <i n="[Table3].[area].&amp;[Utako]" c="Utako"/>
              <i n="[Table3].[area].&amp;[Wuse-2]" c="Wuse-2"/>
            </range>
          </ranges>
        </level>
      </levels>
      <selections count="1">
        <selection n="[Table3].[area].[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Tier1" xr10:uid="{F61DCCDD-0900-4D35-9014-5144171D5261}" sourceName="[Table3].[Price Tier]">
  <pivotTables>
    <pivotTable tabId="5" name="Sale Listing Count by Price Tier"/>
    <pivotTable tabId="5" name="KPI Sale 1"/>
    <pivotTable tabId="5" name="KPI Sale 2"/>
    <pivotTable tabId="5" name="KPI Sale 3"/>
    <pivotTable tabId="5" name="KPI Sale 4"/>
    <pivotTable tabId="5" name="Median Sale Price by Area"/>
    <pivotTable tabId="5" name="Median Sale Price by Bedroom Count"/>
    <pivotTable tabId="5" name="Median Sale Price by Property Type"/>
    <pivotTable tabId="5" name="Sale Listing Count by Area"/>
    <pivotTable tabId="5" name="Sale Listings by Property Type"/>
    <pivotTable tabId="5" name="PivotTable8"/>
  </pivotTables>
  <data>
    <olap pivotCacheId="1206102643">
      <levels count="2">
        <level uniqueName="[Table3].[Price Tier].[(All)]" sourceCaption="(All)" count="0"/>
        <level uniqueName="[Table3].[Price Tier].[Price Tier]" sourceCaption="Price Tier" count="4">
          <ranges>
            <range startItem="0">
              <i n="[Table3].[Price Tier].&amp;[₦250M to below ₦750M]" c="₦250M to below ₦750M"/>
              <i n="[Table3].[Price Tier].&amp;[₦50M to below ₦250M]" c="₦50M to below ₦250M"/>
              <i n="[Table3].[Price Tier].&amp;[₦750M and above]" c="₦750M and above"/>
              <i n="[Table3].[Price Tier].&amp;[Below ₦50M]" c="Below ₦50M"/>
            </range>
          </ranges>
        </level>
      </levels>
      <selections count="1">
        <selection n="[Table3].[Price Ti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xr10:uid="{5BE49034-2784-4802-99A2-D0B0F6A8DA05}" cache="Slicer_area" caption="area" startItem="9" level="1" style="Slicer Style 1" rowHeight="234950"/>
  <slicer name="Price Tier" xr10:uid="{6347BC61-CF33-450B-B98C-2CAA00B1BA76}" cache="Slicer_Price_Tier" caption="Price Tier" level="1" style="Slicer Style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1" xr10:uid="{CC569C4F-D7AC-4297-93DA-653971624888}" cache="Slicer_area" caption="area" columnCount="8" showCaption="0" level="1" style="Slicer Style 1" rowHeight="216000"/>
  <slicer name="Price Tier 1" xr10:uid="{F7D59B20-EA2F-4868-BCCB-0CF25F7BBAA7}" cache="Slicer_Price_Tier" caption="Price Tier" showCaption="0" level="1" style="Slicer Style 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2" xr10:uid="{76C7D876-5AF7-4CFF-AB95-BCF103AEB182}" cache="Slicer_area" caption="area" columnCount="8" showCaption="0" level="1" style="Slicer Style 1" rowHeight="216000"/>
  <slicer name="Price Tier 2" xr10:uid="{7CACF02F-EBFB-4E05-B262-E4EA408116B3}" cache="Slicer_Price_Tier" caption="Price Tier" showCaption="0" level="1" style="Slicer Style 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3" xr10:uid="{060FB4E5-CBF1-4A76-B52A-9F89F5D460D8}" cache="Slicer_area1" caption="area" level="1" style="Slicer Style 1" rowHeight="234950"/>
  <slicer name="Price Tier 3" xr10:uid="{7A3F4D0F-BB9E-4B8C-A5F0-5A3C958E5A5B}" cache="Slicer_Price_Tier1" caption="Price Tier" level="1" style="Slicer Style 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4" xr10:uid="{C5A542AB-9B95-40D4-95FF-6E8C1CA0A934}" cache="Slicer_area1" caption="area" columnCount="8" showCaption="0" level="1" style="Slicer Style 1" rowHeight="234950"/>
  <slicer name="Price Tier 4" xr10:uid="{0BAA1D16-299B-40C1-8F06-C2742D35772F}" cache="Slicer_Price_Tier1" caption="Price Tier" startItem="2" showCaption="0" level="1" style="Slicer Style 1"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5" xr10:uid="{1D6AD06D-362F-4B70-9655-E1386BF1BFE1}" cache="Slicer_area1" caption="area" columnCount="8" showCaption="0" level="1" style="Slicer Style 1" rowHeight="234950"/>
  <slicer name="Price Tier 5" xr10:uid="{80E0770A-3705-421A-843E-65FF3B82576B}" cache="Slicer_Price_Tier1" caption="Price Tier" startItem="2" showCaption="0" level="1"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B53CE8C-9718-409D-A306-1D194E34DF81}" name="Rent_Table" displayName="Rent_Table" ref="A1:J251" totalsRowShown="0">
  <autoFilter ref="A1:J251" xr:uid="{DB53CE8C-9718-409D-A306-1D194E34DF81}"/>
  <tableColumns count="10">
    <tableColumn id="1" xr3:uid="{3642F256-AE43-4042-9B48-0A8CECECB3CD}" name="title"/>
    <tableColumn id="2" xr3:uid="{6DCDE6DE-A740-4813-AEA7-2C142CD492C7}" name="price_ngn" dataDxfId="396"/>
    <tableColumn id="3" xr3:uid="{787D3BF7-C06F-4AE8-AB0B-09A50F94D2CC}" name="Price Tier" dataDxfId="395"/>
    <tableColumn id="4" xr3:uid="{3C8A4468-7C20-43A5-B978-129A1ED25755}" name="listing_type"/>
    <tableColumn id="5" xr3:uid="{7C9377C2-648A-4B5E-932A-867B433F1DE8}" name="area"/>
    <tableColumn id="7" xr3:uid="{0C049368-360E-48AB-AAD2-6737B046497C}" name="address"/>
    <tableColumn id="8" xr3:uid="{71C4BC72-B977-4030-81F5-57C6AE91F7AD}" name="bedrooms"/>
    <tableColumn id="9" xr3:uid="{AE251E76-9B61-4845-B783-83F7B901BD32}" name="bathrooms"/>
    <tableColumn id="10" xr3:uid="{FBB5E49A-E32F-4672-9DAF-53E74770C59C}" name="toilets"/>
    <tableColumn id="11" xr3:uid="{C57E91A8-4BDD-48C6-985C-4D8924FCBA8C}" name="property_typ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0EB656-5C91-41AD-BB10-BE689676BF69}" name="Sale_Table" displayName="Sale_Table" ref="A1:J232" totalsRowShown="0">
  <autoFilter ref="A1:J232" xr:uid="{2C0EB656-5C91-41AD-BB10-BE689676BF69}">
    <filterColumn colId="4">
      <filters>
        <filter val="Wuse-2"/>
      </filters>
    </filterColumn>
  </autoFilter>
  <tableColumns count="10">
    <tableColumn id="1" xr3:uid="{DF05DBCA-9C1E-4B62-9A77-721B0AA4C44D}" name="title"/>
    <tableColumn id="2" xr3:uid="{E1840788-1C6D-4DC2-A0BB-09B6A78A2EEC}" name="price_ngn" dataDxfId="394"/>
    <tableColumn id="3" xr3:uid="{9A09C02C-C7AB-4FE3-92DB-0D093FECE454}" name="Price Tier" dataDxfId="393"/>
    <tableColumn id="4" xr3:uid="{8FE6CE6D-C176-4419-96A6-B5A8E0AF2A3D}" name="listing_type"/>
    <tableColumn id="5" xr3:uid="{A09C62A2-3C5D-4886-9633-C1E9BB3D7F81}" name="area"/>
    <tableColumn id="7" xr3:uid="{48141773-71DB-4FFF-9C0E-64C2B46C1A97}" name="address"/>
    <tableColumn id="8" xr3:uid="{BF891BA4-7FF6-46EB-9577-4A5722DDB1F1}" name="bedrooms"/>
    <tableColumn id="9" xr3:uid="{97757199-543C-4DEB-9D43-873BDA651197}" name="bathrooms"/>
    <tableColumn id="10" xr3:uid="{55933A1A-C5C1-4E2E-B6B6-0919C062E2E2}" name="toilets"/>
    <tableColumn id="11" xr3:uid="{3B875575-B307-4476-94CB-FFD2A90753E4}" name="property_typ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18.xml"/><Relationship Id="rId13" Type="http://schemas.microsoft.com/office/2007/relationships/slicer" Target="../slicers/slicer4.xml"/><Relationship Id="rId3" Type="http://schemas.openxmlformats.org/officeDocument/2006/relationships/pivotTable" Target="../pivotTables/pivotTable13.xml"/><Relationship Id="rId7" Type="http://schemas.openxmlformats.org/officeDocument/2006/relationships/pivotTable" Target="../pivotTables/pivotTable17.xml"/><Relationship Id="rId12" Type="http://schemas.openxmlformats.org/officeDocument/2006/relationships/drawing" Target="../drawings/drawing5.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11" Type="http://schemas.openxmlformats.org/officeDocument/2006/relationships/pivotTable" Target="../pivotTables/pivotTable21.xml"/><Relationship Id="rId5" Type="http://schemas.openxmlformats.org/officeDocument/2006/relationships/pivotTable" Target="../pivotTables/pivotTable15.xml"/><Relationship Id="rId10" Type="http://schemas.openxmlformats.org/officeDocument/2006/relationships/pivotTable" Target="../pivotTables/pivotTable20.xml"/><Relationship Id="rId4" Type="http://schemas.openxmlformats.org/officeDocument/2006/relationships/pivotTable" Target="../pivotTables/pivotTable14.xml"/><Relationship Id="rId9" Type="http://schemas.openxmlformats.org/officeDocument/2006/relationships/pivotTable" Target="../pivotTables/pivotTable19.xml"/></Relationships>
</file>

<file path=xl/worksheets/_rels/sheet9.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F9D3C-6D88-4046-A44C-8B206A8931F9}">
  <sheetPr codeName="Sheet1"/>
  <dimension ref="A1:O482"/>
  <sheetViews>
    <sheetView topLeftCell="F1" workbookViewId="0">
      <pane ySplit="1" topLeftCell="A2" activePane="bottomLeft" state="frozen"/>
      <selection pane="bottomLeft" activeCell="F11" sqref="F11"/>
    </sheetView>
  </sheetViews>
  <sheetFormatPr defaultRowHeight="14.4" x14ac:dyDescent="0.3"/>
  <cols>
    <col min="1" max="1" width="50.21875" bestFit="1" customWidth="1"/>
    <col min="2" max="2" width="16.33203125" bestFit="1" customWidth="1"/>
    <col min="3" max="3" width="10.21875" bestFit="1" customWidth="1"/>
    <col min="4" max="4" width="11.109375" bestFit="1" customWidth="1"/>
    <col min="5" max="5" width="13.44140625" bestFit="1" customWidth="1"/>
    <col min="6" max="6" width="85" bestFit="1" customWidth="1"/>
    <col min="7" max="7" width="9.21875" bestFit="1" customWidth="1"/>
    <col min="8" max="8" width="9.88671875" bestFit="1" customWidth="1"/>
    <col min="9" max="9" width="6.109375" bestFit="1" customWidth="1"/>
    <col min="10" max="10" width="19.5546875" bestFit="1" customWidth="1"/>
    <col min="11" max="11" width="255.77734375" bestFit="1" customWidth="1"/>
    <col min="12" max="12" width="8" bestFit="1" customWidth="1"/>
    <col min="13" max="13" width="10.6640625" bestFit="1" customWidth="1"/>
    <col min="14" max="14" width="11.5546875" bestFit="1" customWidth="1"/>
    <col min="15" max="15" width="148.21875" bestFit="1" customWidth="1"/>
  </cols>
  <sheetData>
    <row r="1" spans="1:15" x14ac:dyDescent="0.3">
      <c r="A1" s="2" t="s">
        <v>0</v>
      </c>
      <c r="B1" s="2" t="s">
        <v>1</v>
      </c>
      <c r="C1" s="2" t="s">
        <v>2</v>
      </c>
      <c r="D1" s="2" t="s">
        <v>3</v>
      </c>
      <c r="E1" s="2" t="s">
        <v>4</v>
      </c>
      <c r="F1" s="2" t="s">
        <v>5</v>
      </c>
      <c r="G1" s="2" t="s">
        <v>6</v>
      </c>
      <c r="H1" s="2" t="s">
        <v>7</v>
      </c>
      <c r="I1" s="2" t="s">
        <v>8</v>
      </c>
      <c r="J1" s="2" t="s">
        <v>9</v>
      </c>
      <c r="K1" s="2" t="s">
        <v>10</v>
      </c>
      <c r="L1" s="2" t="s">
        <v>11</v>
      </c>
      <c r="M1" s="2" t="s">
        <v>12</v>
      </c>
      <c r="N1" s="2" t="s">
        <v>13</v>
      </c>
      <c r="O1" s="2" t="s">
        <v>14</v>
      </c>
    </row>
    <row r="2" spans="1:15" x14ac:dyDescent="0.3">
      <c r="A2" t="s">
        <v>15</v>
      </c>
      <c r="B2" s="3">
        <v>750000000</v>
      </c>
      <c r="C2" t="s">
        <v>16</v>
      </c>
      <c r="D2" t="s">
        <v>17</v>
      </c>
      <c r="E2" t="s">
        <v>17</v>
      </c>
      <c r="F2" t="s">
        <v>18</v>
      </c>
      <c r="G2">
        <v>3</v>
      </c>
      <c r="H2">
        <v>3</v>
      </c>
      <c r="I2">
        <v>4</v>
      </c>
      <c r="J2" t="s">
        <v>19</v>
      </c>
      <c r="K2" t="s">
        <v>20</v>
      </c>
      <c r="L2" t="s">
        <v>21</v>
      </c>
      <c r="M2" s="1">
        <v>45993</v>
      </c>
      <c r="N2" s="1">
        <v>46136</v>
      </c>
      <c r="O2" t="s">
        <v>22</v>
      </c>
    </row>
    <row r="3" spans="1:15" x14ac:dyDescent="0.3">
      <c r="A3" t="s">
        <v>23</v>
      </c>
      <c r="B3" s="3">
        <v>2000000000</v>
      </c>
      <c r="C3" t="s">
        <v>16</v>
      </c>
      <c r="D3" t="s">
        <v>17</v>
      </c>
      <c r="E3" t="s">
        <v>17</v>
      </c>
      <c r="F3" t="s">
        <v>24</v>
      </c>
      <c r="G3">
        <v>5</v>
      </c>
      <c r="H3">
        <v>5</v>
      </c>
      <c r="I3">
        <v>6</v>
      </c>
      <c r="J3" t="s">
        <v>19</v>
      </c>
      <c r="K3" t="s">
        <v>20</v>
      </c>
      <c r="L3" t="s">
        <v>25</v>
      </c>
      <c r="M3" s="1">
        <v>45979</v>
      </c>
      <c r="N3" s="1">
        <v>46136</v>
      </c>
      <c r="O3" t="s">
        <v>26</v>
      </c>
    </row>
    <row r="4" spans="1:15" x14ac:dyDescent="0.3">
      <c r="A4" t="s">
        <v>27</v>
      </c>
      <c r="B4" s="3">
        <v>900000000</v>
      </c>
      <c r="C4" t="s">
        <v>16</v>
      </c>
      <c r="D4" t="s">
        <v>17</v>
      </c>
      <c r="E4" t="s">
        <v>17</v>
      </c>
      <c r="F4" t="s">
        <v>28</v>
      </c>
      <c r="G4">
        <v>4</v>
      </c>
      <c r="H4">
        <v>4</v>
      </c>
      <c r="I4">
        <v>5</v>
      </c>
      <c r="J4" t="s">
        <v>29</v>
      </c>
      <c r="K4" t="s">
        <v>20</v>
      </c>
      <c r="L4" t="s">
        <v>30</v>
      </c>
      <c r="M4" s="1">
        <v>46047</v>
      </c>
      <c r="N4" s="1">
        <v>46136</v>
      </c>
      <c r="O4" t="s">
        <v>31</v>
      </c>
    </row>
    <row r="5" spans="1:15" x14ac:dyDescent="0.3">
      <c r="A5" t="s">
        <v>32</v>
      </c>
      <c r="B5" s="3">
        <v>600000000</v>
      </c>
      <c r="C5" t="s">
        <v>16</v>
      </c>
      <c r="D5" t="s">
        <v>17</v>
      </c>
      <c r="E5" t="s">
        <v>17</v>
      </c>
      <c r="F5" t="s">
        <v>33</v>
      </c>
      <c r="G5">
        <v>5</v>
      </c>
      <c r="H5">
        <v>5</v>
      </c>
      <c r="I5">
        <v>6</v>
      </c>
      <c r="J5" t="s">
        <v>19</v>
      </c>
      <c r="K5" t="s">
        <v>20</v>
      </c>
      <c r="L5" t="s">
        <v>34</v>
      </c>
      <c r="M5" s="1">
        <v>45887</v>
      </c>
      <c r="N5" s="1">
        <v>46136</v>
      </c>
      <c r="O5" t="s">
        <v>35</v>
      </c>
    </row>
    <row r="6" spans="1:15" x14ac:dyDescent="0.3">
      <c r="A6" t="s">
        <v>36</v>
      </c>
      <c r="B6" s="3">
        <v>750000000</v>
      </c>
      <c r="C6" t="s">
        <v>16</v>
      </c>
      <c r="D6" t="s">
        <v>17</v>
      </c>
      <c r="E6" t="s">
        <v>17</v>
      </c>
      <c r="F6" t="s">
        <v>37</v>
      </c>
      <c r="G6">
        <v>4</v>
      </c>
      <c r="H6">
        <v>4</v>
      </c>
      <c r="I6">
        <v>5</v>
      </c>
      <c r="J6" t="s">
        <v>38</v>
      </c>
      <c r="K6" t="s">
        <v>20</v>
      </c>
      <c r="L6" t="s">
        <v>39</v>
      </c>
      <c r="M6" s="1">
        <v>46003</v>
      </c>
      <c r="N6" s="1">
        <v>46136</v>
      </c>
      <c r="O6" t="s">
        <v>40</v>
      </c>
    </row>
    <row r="7" spans="1:15" x14ac:dyDescent="0.3">
      <c r="A7" t="s">
        <v>41</v>
      </c>
      <c r="B7" s="3">
        <v>750000000</v>
      </c>
      <c r="C7" t="s">
        <v>16</v>
      </c>
      <c r="D7" t="s">
        <v>42</v>
      </c>
      <c r="E7" t="s">
        <v>42</v>
      </c>
      <c r="F7" t="s">
        <v>43</v>
      </c>
      <c r="G7">
        <v>5</v>
      </c>
      <c r="H7">
        <v>5</v>
      </c>
      <c r="I7">
        <v>6</v>
      </c>
      <c r="J7" t="s">
        <v>38</v>
      </c>
      <c r="K7" t="s">
        <v>20</v>
      </c>
      <c r="L7" t="s">
        <v>44</v>
      </c>
      <c r="M7" s="1">
        <v>46056</v>
      </c>
      <c r="N7" s="1">
        <v>46136</v>
      </c>
      <c r="O7" t="s">
        <v>45</v>
      </c>
    </row>
    <row r="8" spans="1:15" x14ac:dyDescent="0.3">
      <c r="A8" t="s">
        <v>46</v>
      </c>
      <c r="B8" s="3">
        <v>4000000000</v>
      </c>
      <c r="C8" t="s">
        <v>16</v>
      </c>
      <c r="D8" t="s">
        <v>42</v>
      </c>
      <c r="E8" t="s">
        <v>42</v>
      </c>
      <c r="F8" t="s">
        <v>47</v>
      </c>
      <c r="G8">
        <v>10</v>
      </c>
      <c r="H8">
        <v>10</v>
      </c>
      <c r="I8">
        <v>10</v>
      </c>
      <c r="J8" t="s">
        <v>48</v>
      </c>
      <c r="K8" t="s">
        <v>20</v>
      </c>
      <c r="L8" t="s">
        <v>49</v>
      </c>
      <c r="M8" s="1">
        <v>46028</v>
      </c>
      <c r="N8" s="1">
        <v>46136</v>
      </c>
      <c r="O8" t="s">
        <v>50</v>
      </c>
    </row>
    <row r="9" spans="1:15" x14ac:dyDescent="0.3">
      <c r="A9" t="s">
        <v>51</v>
      </c>
      <c r="B9" s="3">
        <v>2500000000</v>
      </c>
      <c r="C9" t="s">
        <v>16</v>
      </c>
      <c r="D9" t="s">
        <v>42</v>
      </c>
      <c r="E9" t="s">
        <v>42</v>
      </c>
      <c r="F9" t="s">
        <v>52</v>
      </c>
      <c r="G9">
        <v>8</v>
      </c>
      <c r="H9">
        <v>10</v>
      </c>
      <c r="I9">
        <v>10</v>
      </c>
      <c r="J9" t="s">
        <v>38</v>
      </c>
      <c r="K9" t="s">
        <v>20</v>
      </c>
      <c r="L9" t="s">
        <v>53</v>
      </c>
      <c r="M9" s="1">
        <v>45857</v>
      </c>
      <c r="N9" s="1">
        <v>46136</v>
      </c>
      <c r="O9" t="s">
        <v>54</v>
      </c>
    </row>
    <row r="10" spans="1:15" x14ac:dyDescent="0.3">
      <c r="A10" t="s">
        <v>55</v>
      </c>
      <c r="B10" s="3">
        <v>1100000000</v>
      </c>
      <c r="C10" t="s">
        <v>16</v>
      </c>
      <c r="D10" t="s">
        <v>42</v>
      </c>
      <c r="E10" t="s">
        <v>42</v>
      </c>
      <c r="F10" t="s">
        <v>56</v>
      </c>
      <c r="G10">
        <v>7</v>
      </c>
      <c r="H10">
        <v>7</v>
      </c>
      <c r="I10">
        <v>7</v>
      </c>
      <c r="J10" t="s">
        <v>38</v>
      </c>
      <c r="K10" t="s">
        <v>20</v>
      </c>
      <c r="L10" t="s">
        <v>57</v>
      </c>
      <c r="M10" s="1">
        <v>45788</v>
      </c>
      <c r="N10" s="1">
        <v>46136</v>
      </c>
      <c r="O10" t="s">
        <v>58</v>
      </c>
    </row>
    <row r="11" spans="1:15" x14ac:dyDescent="0.3">
      <c r="A11" t="s">
        <v>59</v>
      </c>
      <c r="B11" s="3">
        <v>5000000000</v>
      </c>
      <c r="C11" t="s">
        <v>16</v>
      </c>
      <c r="D11" t="s">
        <v>42</v>
      </c>
      <c r="E11" t="s">
        <v>42</v>
      </c>
      <c r="F11" t="s">
        <v>56</v>
      </c>
      <c r="G11">
        <v>8</v>
      </c>
      <c r="H11">
        <v>8</v>
      </c>
      <c r="I11">
        <v>9</v>
      </c>
      <c r="J11" t="s">
        <v>38</v>
      </c>
      <c r="K11" t="s">
        <v>20</v>
      </c>
      <c r="L11" t="s">
        <v>60</v>
      </c>
      <c r="M11" s="1">
        <v>46108</v>
      </c>
      <c r="N11" s="1">
        <v>46136</v>
      </c>
      <c r="O11" t="s">
        <v>61</v>
      </c>
    </row>
    <row r="12" spans="1:15" x14ac:dyDescent="0.3">
      <c r="A12" t="s">
        <v>51</v>
      </c>
      <c r="B12" s="3">
        <v>2000000000</v>
      </c>
      <c r="C12" t="s">
        <v>16</v>
      </c>
      <c r="D12" t="s">
        <v>42</v>
      </c>
      <c r="E12" t="s">
        <v>42</v>
      </c>
      <c r="F12" t="s">
        <v>52</v>
      </c>
      <c r="G12">
        <v>10</v>
      </c>
      <c r="H12">
        <v>10</v>
      </c>
      <c r="I12">
        <v>10</v>
      </c>
      <c r="J12" t="s">
        <v>38</v>
      </c>
      <c r="K12" t="s">
        <v>20</v>
      </c>
      <c r="L12" t="s">
        <v>62</v>
      </c>
      <c r="M12" s="1">
        <v>45857</v>
      </c>
      <c r="N12" s="1">
        <v>46136</v>
      </c>
      <c r="O12" t="s">
        <v>63</v>
      </c>
    </row>
    <row r="13" spans="1:15" x14ac:dyDescent="0.3">
      <c r="A13" t="s">
        <v>64</v>
      </c>
      <c r="B13" s="3">
        <v>1100000000</v>
      </c>
      <c r="C13" t="s">
        <v>16</v>
      </c>
      <c r="D13" t="s">
        <v>42</v>
      </c>
      <c r="E13" t="s">
        <v>42</v>
      </c>
      <c r="F13" t="s">
        <v>65</v>
      </c>
      <c r="G13">
        <v>7</v>
      </c>
      <c r="H13">
        <v>7</v>
      </c>
      <c r="I13">
        <v>8</v>
      </c>
      <c r="J13" t="s">
        <v>38</v>
      </c>
      <c r="K13" t="s">
        <v>20</v>
      </c>
      <c r="L13" t="s">
        <v>66</v>
      </c>
      <c r="M13" s="1">
        <v>45861</v>
      </c>
      <c r="N13" s="1">
        <v>46136</v>
      </c>
      <c r="O13" t="s">
        <v>67</v>
      </c>
    </row>
    <row r="14" spans="1:15" x14ac:dyDescent="0.3">
      <c r="A14" t="s">
        <v>68</v>
      </c>
      <c r="B14" s="3">
        <v>250000000</v>
      </c>
      <c r="C14" t="s">
        <v>16</v>
      </c>
      <c r="D14" t="s">
        <v>42</v>
      </c>
      <c r="E14" t="s">
        <v>42</v>
      </c>
      <c r="F14" t="s">
        <v>69</v>
      </c>
      <c r="G14">
        <v>4</v>
      </c>
      <c r="H14">
        <v>4</v>
      </c>
      <c r="I14">
        <v>5</v>
      </c>
      <c r="J14" t="s">
        <v>70</v>
      </c>
      <c r="K14" t="s">
        <v>20</v>
      </c>
      <c r="L14" t="s">
        <v>71</v>
      </c>
      <c r="M14" s="1">
        <v>45885</v>
      </c>
      <c r="N14" s="1">
        <v>46136</v>
      </c>
      <c r="O14" t="s">
        <v>72</v>
      </c>
    </row>
    <row r="15" spans="1:15" x14ac:dyDescent="0.3">
      <c r="A15" t="s">
        <v>73</v>
      </c>
      <c r="B15" s="3">
        <v>350000000</v>
      </c>
      <c r="C15" t="s">
        <v>16</v>
      </c>
      <c r="D15" t="s">
        <v>42</v>
      </c>
      <c r="E15" t="s">
        <v>42</v>
      </c>
      <c r="F15" t="s">
        <v>74</v>
      </c>
      <c r="G15">
        <v>4</v>
      </c>
      <c r="H15">
        <v>4</v>
      </c>
      <c r="I15">
        <v>5</v>
      </c>
      <c r="J15" t="s">
        <v>38</v>
      </c>
      <c r="K15" t="s">
        <v>20</v>
      </c>
      <c r="L15" t="s">
        <v>75</v>
      </c>
      <c r="M15" s="1">
        <v>45969</v>
      </c>
      <c r="N15" s="1">
        <v>46136</v>
      </c>
      <c r="O15" t="s">
        <v>76</v>
      </c>
    </row>
    <row r="16" spans="1:15" x14ac:dyDescent="0.3">
      <c r="A16" t="s">
        <v>77</v>
      </c>
      <c r="B16" s="3">
        <v>900000000</v>
      </c>
      <c r="C16" t="s">
        <v>16</v>
      </c>
      <c r="D16" t="s">
        <v>42</v>
      </c>
      <c r="E16" t="s">
        <v>42</v>
      </c>
      <c r="F16" t="s">
        <v>56</v>
      </c>
      <c r="G16">
        <v>4</v>
      </c>
      <c r="H16">
        <v>4</v>
      </c>
      <c r="I16">
        <v>4</v>
      </c>
      <c r="J16" t="s">
        <v>29</v>
      </c>
      <c r="K16" t="s">
        <v>20</v>
      </c>
      <c r="L16" t="s">
        <v>78</v>
      </c>
      <c r="M16" s="1">
        <v>46050</v>
      </c>
      <c r="N16" s="1">
        <v>46136</v>
      </c>
      <c r="O16" t="s">
        <v>79</v>
      </c>
    </row>
    <row r="17" spans="1:15" x14ac:dyDescent="0.3">
      <c r="A17" t="s">
        <v>80</v>
      </c>
      <c r="B17" s="3">
        <v>1700000000</v>
      </c>
      <c r="C17" t="s">
        <v>16</v>
      </c>
      <c r="D17" t="s">
        <v>42</v>
      </c>
      <c r="E17" t="s">
        <v>42</v>
      </c>
      <c r="F17" t="s">
        <v>56</v>
      </c>
      <c r="G17">
        <v>5</v>
      </c>
      <c r="H17">
        <v>5</v>
      </c>
      <c r="I17">
        <v>6</v>
      </c>
      <c r="J17" t="s">
        <v>38</v>
      </c>
      <c r="K17" t="s">
        <v>20</v>
      </c>
      <c r="L17" t="s">
        <v>81</v>
      </c>
      <c r="M17" s="1">
        <v>45946</v>
      </c>
      <c r="N17" s="1">
        <v>46136</v>
      </c>
      <c r="O17" t="s">
        <v>82</v>
      </c>
    </row>
    <row r="18" spans="1:15" x14ac:dyDescent="0.3">
      <c r="A18" t="s">
        <v>83</v>
      </c>
      <c r="B18" s="3">
        <v>750000000</v>
      </c>
      <c r="C18" t="s">
        <v>16</v>
      </c>
      <c r="D18" t="s">
        <v>84</v>
      </c>
      <c r="E18" t="s">
        <v>85</v>
      </c>
      <c r="F18" t="s">
        <v>86</v>
      </c>
      <c r="G18">
        <v>5</v>
      </c>
      <c r="H18">
        <v>5</v>
      </c>
      <c r="I18">
        <v>6</v>
      </c>
      <c r="J18" t="s">
        <v>70</v>
      </c>
      <c r="K18" t="s">
        <v>20</v>
      </c>
      <c r="L18" t="s">
        <v>87</v>
      </c>
      <c r="M18" s="1">
        <v>45960</v>
      </c>
      <c r="N18" s="1">
        <v>46136</v>
      </c>
      <c r="O18" t="s">
        <v>88</v>
      </c>
    </row>
    <row r="19" spans="1:15" x14ac:dyDescent="0.3">
      <c r="A19" t="s">
        <v>89</v>
      </c>
      <c r="B19" s="3">
        <v>3000000000</v>
      </c>
      <c r="C19" t="s">
        <v>16</v>
      </c>
      <c r="D19" t="s">
        <v>84</v>
      </c>
      <c r="E19" t="s">
        <v>85</v>
      </c>
      <c r="F19" t="s">
        <v>90</v>
      </c>
      <c r="G19">
        <v>8</v>
      </c>
      <c r="H19">
        <v>8</v>
      </c>
      <c r="I19">
        <v>8</v>
      </c>
      <c r="J19" t="s">
        <v>91</v>
      </c>
      <c r="K19" t="s">
        <v>20</v>
      </c>
      <c r="L19" t="s">
        <v>92</v>
      </c>
      <c r="M19" s="1">
        <v>45951</v>
      </c>
      <c r="N19" s="1">
        <v>46136</v>
      </c>
      <c r="O19" t="s">
        <v>93</v>
      </c>
    </row>
    <row r="20" spans="1:15" x14ac:dyDescent="0.3">
      <c r="A20" t="s">
        <v>94</v>
      </c>
      <c r="B20" s="3">
        <v>2000000000</v>
      </c>
      <c r="C20" t="s">
        <v>16</v>
      </c>
      <c r="D20" t="s">
        <v>84</v>
      </c>
      <c r="E20" t="s">
        <v>85</v>
      </c>
      <c r="F20" t="s">
        <v>90</v>
      </c>
      <c r="G20">
        <v>6</v>
      </c>
      <c r="H20">
        <v>6</v>
      </c>
      <c r="I20">
        <v>7</v>
      </c>
      <c r="J20" t="s">
        <v>38</v>
      </c>
      <c r="K20" t="s">
        <v>20</v>
      </c>
      <c r="L20" t="s">
        <v>95</v>
      </c>
      <c r="M20" s="1">
        <v>45873</v>
      </c>
      <c r="N20" s="1">
        <v>46136</v>
      </c>
      <c r="O20" t="s">
        <v>96</v>
      </c>
    </row>
    <row r="21" spans="1:15" x14ac:dyDescent="0.3">
      <c r="A21" t="s">
        <v>94</v>
      </c>
      <c r="B21" s="3">
        <v>2000000000</v>
      </c>
      <c r="C21" t="s">
        <v>16</v>
      </c>
      <c r="D21" t="s">
        <v>84</v>
      </c>
      <c r="E21" t="s">
        <v>85</v>
      </c>
      <c r="F21" t="s">
        <v>90</v>
      </c>
      <c r="G21">
        <v>6</v>
      </c>
      <c r="H21">
        <v>6</v>
      </c>
      <c r="I21">
        <v>7</v>
      </c>
      <c r="J21" t="s">
        <v>38</v>
      </c>
      <c r="K21" t="s">
        <v>20</v>
      </c>
      <c r="L21" t="s">
        <v>97</v>
      </c>
      <c r="M21" s="1">
        <v>45873</v>
      </c>
      <c r="N21" s="1">
        <v>46136</v>
      </c>
      <c r="O21" t="s">
        <v>98</v>
      </c>
    </row>
    <row r="22" spans="1:15" x14ac:dyDescent="0.3">
      <c r="A22" t="s">
        <v>99</v>
      </c>
      <c r="B22" s="3">
        <v>1500000000</v>
      </c>
      <c r="C22" t="s">
        <v>16</v>
      </c>
      <c r="D22" t="s">
        <v>84</v>
      </c>
      <c r="E22" t="s">
        <v>85</v>
      </c>
      <c r="F22" t="s">
        <v>100</v>
      </c>
      <c r="G22">
        <v>4</v>
      </c>
      <c r="H22">
        <v>4</v>
      </c>
      <c r="I22">
        <v>5</v>
      </c>
      <c r="J22" t="s">
        <v>38</v>
      </c>
      <c r="K22" t="s">
        <v>20</v>
      </c>
      <c r="L22" t="s">
        <v>101</v>
      </c>
      <c r="M22" s="1">
        <v>45782</v>
      </c>
      <c r="N22" s="1">
        <v>46136</v>
      </c>
      <c r="O22" t="s">
        <v>102</v>
      </c>
    </row>
    <row r="23" spans="1:15" x14ac:dyDescent="0.3">
      <c r="A23" t="s">
        <v>103</v>
      </c>
      <c r="B23" s="3">
        <v>550000000</v>
      </c>
      <c r="C23" t="s">
        <v>16</v>
      </c>
      <c r="D23" t="s">
        <v>84</v>
      </c>
      <c r="E23" t="s">
        <v>85</v>
      </c>
      <c r="F23" t="s">
        <v>104</v>
      </c>
      <c r="G23">
        <v>5</v>
      </c>
      <c r="H23">
        <v>5</v>
      </c>
      <c r="I23">
        <v>6</v>
      </c>
      <c r="J23" t="s">
        <v>29</v>
      </c>
      <c r="K23" t="s">
        <v>20</v>
      </c>
      <c r="L23" t="s">
        <v>105</v>
      </c>
      <c r="M23" s="1">
        <v>45821</v>
      </c>
      <c r="N23" s="1">
        <v>46136</v>
      </c>
      <c r="O23" t="s">
        <v>106</v>
      </c>
    </row>
    <row r="24" spans="1:15" x14ac:dyDescent="0.3">
      <c r="A24" t="s">
        <v>107</v>
      </c>
      <c r="B24" s="3">
        <v>850000000</v>
      </c>
      <c r="C24" t="s">
        <v>16</v>
      </c>
      <c r="D24" t="s">
        <v>84</v>
      </c>
      <c r="E24" t="s">
        <v>85</v>
      </c>
      <c r="F24" t="s">
        <v>90</v>
      </c>
      <c r="G24">
        <v>5</v>
      </c>
      <c r="H24">
        <v>5</v>
      </c>
      <c r="J24" t="s">
        <v>38</v>
      </c>
      <c r="K24" t="s">
        <v>20</v>
      </c>
      <c r="L24" t="s">
        <v>108</v>
      </c>
      <c r="M24" s="1">
        <v>46076</v>
      </c>
      <c r="N24" s="1">
        <v>46136</v>
      </c>
      <c r="O24" t="s">
        <v>109</v>
      </c>
    </row>
    <row r="25" spans="1:15" x14ac:dyDescent="0.3">
      <c r="A25" t="s">
        <v>110</v>
      </c>
      <c r="B25" s="3">
        <v>250000000</v>
      </c>
      <c r="C25" t="s">
        <v>16</v>
      </c>
      <c r="D25" t="s">
        <v>84</v>
      </c>
      <c r="E25" t="s">
        <v>85</v>
      </c>
      <c r="F25" t="s">
        <v>90</v>
      </c>
      <c r="G25">
        <v>2</v>
      </c>
      <c r="H25">
        <v>2</v>
      </c>
      <c r="J25" t="s">
        <v>19</v>
      </c>
      <c r="K25" t="s">
        <v>20</v>
      </c>
      <c r="L25" t="s">
        <v>111</v>
      </c>
      <c r="M25" s="1">
        <v>46064</v>
      </c>
      <c r="N25" s="1">
        <v>46136</v>
      </c>
      <c r="O25" t="s">
        <v>112</v>
      </c>
    </row>
    <row r="26" spans="1:15" x14ac:dyDescent="0.3">
      <c r="A26" t="s">
        <v>113</v>
      </c>
      <c r="B26" s="3">
        <v>800000000</v>
      </c>
      <c r="C26" t="s">
        <v>16</v>
      </c>
      <c r="D26" t="s">
        <v>84</v>
      </c>
      <c r="E26" t="s">
        <v>85</v>
      </c>
      <c r="F26" t="s">
        <v>90</v>
      </c>
      <c r="G26">
        <v>7</v>
      </c>
      <c r="H26">
        <v>7</v>
      </c>
      <c r="J26" t="s">
        <v>29</v>
      </c>
      <c r="K26" t="s">
        <v>20</v>
      </c>
      <c r="L26" t="s">
        <v>114</v>
      </c>
      <c r="M26" s="1">
        <v>46083</v>
      </c>
      <c r="N26" s="1">
        <v>46136</v>
      </c>
      <c r="O26" t="s">
        <v>115</v>
      </c>
    </row>
    <row r="27" spans="1:15" x14ac:dyDescent="0.3">
      <c r="A27" t="s">
        <v>116</v>
      </c>
      <c r="B27" s="3">
        <v>950000000</v>
      </c>
      <c r="C27" t="s">
        <v>16</v>
      </c>
      <c r="D27" t="s">
        <v>84</v>
      </c>
      <c r="E27" t="s">
        <v>85</v>
      </c>
      <c r="F27" t="s">
        <v>90</v>
      </c>
      <c r="G27">
        <v>4</v>
      </c>
      <c r="H27">
        <v>4</v>
      </c>
      <c r="J27" t="s">
        <v>70</v>
      </c>
      <c r="K27" t="s">
        <v>20</v>
      </c>
      <c r="L27" t="s">
        <v>117</v>
      </c>
      <c r="M27" s="1">
        <v>46034</v>
      </c>
      <c r="N27" s="1">
        <v>46136</v>
      </c>
      <c r="O27" t="s">
        <v>118</v>
      </c>
    </row>
    <row r="28" spans="1:15" x14ac:dyDescent="0.3">
      <c r="A28" t="s">
        <v>119</v>
      </c>
      <c r="B28" s="3">
        <v>2000000000</v>
      </c>
      <c r="C28" t="s">
        <v>16</v>
      </c>
      <c r="D28" t="s">
        <v>84</v>
      </c>
      <c r="E28" t="s">
        <v>85</v>
      </c>
      <c r="F28" t="s">
        <v>90</v>
      </c>
      <c r="G28">
        <v>3</v>
      </c>
      <c r="H28">
        <v>2</v>
      </c>
      <c r="J28" t="s">
        <v>19</v>
      </c>
      <c r="K28" t="s">
        <v>20</v>
      </c>
      <c r="L28" t="s">
        <v>120</v>
      </c>
      <c r="M28" s="1">
        <v>46104</v>
      </c>
      <c r="N28" s="1">
        <v>46136</v>
      </c>
      <c r="O28" t="s">
        <v>121</v>
      </c>
    </row>
    <row r="29" spans="1:15" x14ac:dyDescent="0.3">
      <c r="A29" t="s">
        <v>122</v>
      </c>
      <c r="B29" s="3">
        <v>1300000000</v>
      </c>
      <c r="C29" t="s">
        <v>16</v>
      </c>
      <c r="D29" t="s">
        <v>84</v>
      </c>
      <c r="E29" t="s">
        <v>85</v>
      </c>
      <c r="F29" t="s">
        <v>90</v>
      </c>
      <c r="G29">
        <v>3</v>
      </c>
      <c r="J29" t="s">
        <v>19</v>
      </c>
      <c r="K29" t="s">
        <v>20</v>
      </c>
      <c r="L29" t="s">
        <v>123</v>
      </c>
      <c r="M29" s="1">
        <v>46045</v>
      </c>
      <c r="N29" s="1">
        <v>46136</v>
      </c>
      <c r="O29" t="s">
        <v>124</v>
      </c>
    </row>
    <row r="30" spans="1:15" x14ac:dyDescent="0.3">
      <c r="A30" t="s">
        <v>116</v>
      </c>
      <c r="B30" s="3">
        <v>850000000</v>
      </c>
      <c r="C30" t="s">
        <v>16</v>
      </c>
      <c r="D30" t="s">
        <v>84</v>
      </c>
      <c r="E30" t="s">
        <v>85</v>
      </c>
      <c r="F30" t="s">
        <v>90</v>
      </c>
      <c r="G30">
        <v>4</v>
      </c>
      <c r="H30">
        <v>4</v>
      </c>
      <c r="J30" t="s">
        <v>70</v>
      </c>
      <c r="K30" t="s">
        <v>20</v>
      </c>
      <c r="L30" t="s">
        <v>125</v>
      </c>
      <c r="M30" s="1">
        <v>46048</v>
      </c>
      <c r="N30" s="1">
        <v>46136</v>
      </c>
      <c r="O30" t="s">
        <v>126</v>
      </c>
    </row>
    <row r="31" spans="1:15" x14ac:dyDescent="0.3">
      <c r="A31" t="s">
        <v>127</v>
      </c>
      <c r="B31" s="3">
        <v>2500000000</v>
      </c>
      <c r="C31" t="s">
        <v>16</v>
      </c>
      <c r="D31" t="s">
        <v>84</v>
      </c>
      <c r="E31" t="s">
        <v>85</v>
      </c>
      <c r="F31" t="s">
        <v>90</v>
      </c>
      <c r="G31">
        <v>7</v>
      </c>
      <c r="H31">
        <v>7</v>
      </c>
      <c r="J31" t="s">
        <v>38</v>
      </c>
      <c r="K31" t="s">
        <v>20</v>
      </c>
      <c r="L31" t="s">
        <v>128</v>
      </c>
      <c r="M31" s="1">
        <v>46092</v>
      </c>
      <c r="N31" s="1">
        <v>46136</v>
      </c>
      <c r="O31" t="s">
        <v>129</v>
      </c>
    </row>
    <row r="32" spans="1:15" x14ac:dyDescent="0.3">
      <c r="A32" t="s">
        <v>130</v>
      </c>
      <c r="B32" s="3">
        <v>300000000</v>
      </c>
      <c r="C32" t="s">
        <v>16</v>
      </c>
      <c r="D32" t="s">
        <v>84</v>
      </c>
      <c r="E32" t="s">
        <v>85</v>
      </c>
      <c r="F32" t="s">
        <v>90</v>
      </c>
      <c r="G32">
        <v>3</v>
      </c>
      <c r="H32">
        <v>3</v>
      </c>
      <c r="J32" t="s">
        <v>19</v>
      </c>
      <c r="K32" t="s">
        <v>20</v>
      </c>
      <c r="L32" t="s">
        <v>131</v>
      </c>
      <c r="M32" s="1">
        <v>46092</v>
      </c>
      <c r="N32" s="1">
        <v>46136</v>
      </c>
      <c r="O32" t="s">
        <v>132</v>
      </c>
    </row>
    <row r="33" spans="1:15" x14ac:dyDescent="0.3">
      <c r="A33" t="s">
        <v>133</v>
      </c>
      <c r="B33" s="3">
        <v>150000000</v>
      </c>
      <c r="C33" t="s">
        <v>16</v>
      </c>
      <c r="D33" t="s">
        <v>134</v>
      </c>
      <c r="E33" t="s">
        <v>134</v>
      </c>
      <c r="F33" t="s">
        <v>135</v>
      </c>
      <c r="G33">
        <v>4</v>
      </c>
      <c r="H33">
        <v>4</v>
      </c>
      <c r="I33">
        <v>5</v>
      </c>
      <c r="J33" t="s">
        <v>29</v>
      </c>
      <c r="K33" t="s">
        <v>20</v>
      </c>
      <c r="L33" t="s">
        <v>136</v>
      </c>
      <c r="M33" s="1">
        <v>46070</v>
      </c>
      <c r="N33" s="1">
        <v>46136</v>
      </c>
      <c r="O33" t="s">
        <v>137</v>
      </c>
    </row>
    <row r="34" spans="1:15" x14ac:dyDescent="0.3">
      <c r="A34" t="s">
        <v>138</v>
      </c>
      <c r="B34" s="3">
        <v>350000000</v>
      </c>
      <c r="C34" t="s">
        <v>16</v>
      </c>
      <c r="D34" t="s">
        <v>134</v>
      </c>
      <c r="E34" t="s">
        <v>134</v>
      </c>
      <c r="F34" t="s">
        <v>135</v>
      </c>
      <c r="G34">
        <v>2</v>
      </c>
      <c r="H34">
        <v>3</v>
      </c>
      <c r="I34">
        <v>3</v>
      </c>
      <c r="J34" t="s">
        <v>19</v>
      </c>
      <c r="K34" t="s">
        <v>20</v>
      </c>
      <c r="L34" t="s">
        <v>139</v>
      </c>
      <c r="M34" s="1">
        <v>46052</v>
      </c>
      <c r="N34" s="1">
        <v>46136</v>
      </c>
      <c r="O34" t="s">
        <v>140</v>
      </c>
    </row>
    <row r="35" spans="1:15" x14ac:dyDescent="0.3">
      <c r="A35" t="s">
        <v>141</v>
      </c>
      <c r="B35" s="3">
        <v>650000000</v>
      </c>
      <c r="C35" t="s">
        <v>16</v>
      </c>
      <c r="D35" t="s">
        <v>134</v>
      </c>
      <c r="E35" t="s">
        <v>134</v>
      </c>
      <c r="F35" t="s">
        <v>135</v>
      </c>
      <c r="G35">
        <v>2</v>
      </c>
      <c r="H35">
        <v>2</v>
      </c>
      <c r="I35">
        <v>3</v>
      </c>
      <c r="J35" t="s">
        <v>19</v>
      </c>
      <c r="K35" t="s">
        <v>20</v>
      </c>
      <c r="L35" t="s">
        <v>142</v>
      </c>
      <c r="M35" s="1">
        <v>46006</v>
      </c>
      <c r="N35" s="1">
        <v>46136</v>
      </c>
      <c r="O35" t="s">
        <v>143</v>
      </c>
    </row>
    <row r="36" spans="1:15" x14ac:dyDescent="0.3">
      <c r="A36" t="s">
        <v>144</v>
      </c>
      <c r="B36" s="3">
        <v>365000000</v>
      </c>
      <c r="C36" t="s">
        <v>16</v>
      </c>
      <c r="D36" t="s">
        <v>134</v>
      </c>
      <c r="E36" t="s">
        <v>134</v>
      </c>
      <c r="F36" t="s">
        <v>145</v>
      </c>
      <c r="G36">
        <v>4</v>
      </c>
      <c r="H36">
        <v>4</v>
      </c>
      <c r="I36">
        <v>5</v>
      </c>
      <c r="J36" t="s">
        <v>38</v>
      </c>
      <c r="K36" t="s">
        <v>20</v>
      </c>
      <c r="L36" t="s">
        <v>146</v>
      </c>
      <c r="M36" s="1">
        <v>46083</v>
      </c>
      <c r="N36" s="1">
        <v>46136</v>
      </c>
      <c r="O36" t="s">
        <v>147</v>
      </c>
    </row>
    <row r="37" spans="1:15" x14ac:dyDescent="0.3">
      <c r="A37" t="s">
        <v>148</v>
      </c>
      <c r="B37" s="3">
        <v>210000000</v>
      </c>
      <c r="C37" t="s">
        <v>16</v>
      </c>
      <c r="D37" t="s">
        <v>134</v>
      </c>
      <c r="E37" t="s">
        <v>134</v>
      </c>
      <c r="F37" t="s">
        <v>149</v>
      </c>
      <c r="G37">
        <v>4</v>
      </c>
      <c r="H37">
        <v>4</v>
      </c>
      <c r="I37">
        <v>5</v>
      </c>
      <c r="J37" t="s">
        <v>91</v>
      </c>
      <c r="K37" t="s">
        <v>20</v>
      </c>
      <c r="L37" t="s">
        <v>150</v>
      </c>
      <c r="M37" s="1">
        <v>46071</v>
      </c>
      <c r="N37" s="1">
        <v>46136</v>
      </c>
      <c r="O37" t="s">
        <v>151</v>
      </c>
    </row>
    <row r="38" spans="1:15" x14ac:dyDescent="0.3">
      <c r="A38" t="s">
        <v>152</v>
      </c>
      <c r="B38" s="3">
        <v>150000000</v>
      </c>
      <c r="C38" t="s">
        <v>16</v>
      </c>
      <c r="D38" t="s">
        <v>134</v>
      </c>
      <c r="E38" t="s">
        <v>134</v>
      </c>
      <c r="F38" t="s">
        <v>153</v>
      </c>
      <c r="G38">
        <v>3</v>
      </c>
      <c r="H38">
        <v>3</v>
      </c>
      <c r="I38">
        <v>4</v>
      </c>
      <c r="J38" t="s">
        <v>38</v>
      </c>
      <c r="K38" t="s">
        <v>20</v>
      </c>
      <c r="L38" t="s">
        <v>154</v>
      </c>
      <c r="M38" s="1">
        <v>46094</v>
      </c>
      <c r="N38" s="1">
        <v>46136</v>
      </c>
      <c r="O38" t="s">
        <v>155</v>
      </c>
    </row>
    <row r="39" spans="1:15" x14ac:dyDescent="0.3">
      <c r="A39" t="s">
        <v>156</v>
      </c>
      <c r="B39" s="3">
        <v>250000000</v>
      </c>
      <c r="C39" t="s">
        <v>16</v>
      </c>
      <c r="D39" t="s">
        <v>134</v>
      </c>
      <c r="E39" t="s">
        <v>134</v>
      </c>
      <c r="F39" t="s">
        <v>157</v>
      </c>
      <c r="G39">
        <v>5</v>
      </c>
      <c r="H39">
        <v>5</v>
      </c>
      <c r="I39">
        <v>6</v>
      </c>
      <c r="J39" t="s">
        <v>29</v>
      </c>
      <c r="K39" t="s">
        <v>20</v>
      </c>
      <c r="L39" t="s">
        <v>158</v>
      </c>
      <c r="M39" s="1">
        <v>46082</v>
      </c>
      <c r="N39" s="1">
        <v>46136</v>
      </c>
      <c r="O39" t="s">
        <v>159</v>
      </c>
    </row>
    <row r="40" spans="1:15" x14ac:dyDescent="0.3">
      <c r="A40" t="s">
        <v>160</v>
      </c>
      <c r="B40" s="3">
        <v>300000000</v>
      </c>
      <c r="C40" t="s">
        <v>16</v>
      </c>
      <c r="D40" t="s">
        <v>134</v>
      </c>
      <c r="E40" t="s">
        <v>134</v>
      </c>
      <c r="F40" t="s">
        <v>161</v>
      </c>
      <c r="G40">
        <v>6</v>
      </c>
      <c r="H40">
        <v>6</v>
      </c>
      <c r="I40">
        <v>7</v>
      </c>
      <c r="J40" t="s">
        <v>91</v>
      </c>
      <c r="K40" t="s">
        <v>20</v>
      </c>
      <c r="L40" t="s">
        <v>162</v>
      </c>
      <c r="M40" s="1">
        <v>46112</v>
      </c>
      <c r="N40" s="1">
        <v>46136</v>
      </c>
      <c r="O40" t="s">
        <v>163</v>
      </c>
    </row>
    <row r="41" spans="1:15" x14ac:dyDescent="0.3">
      <c r="A41" t="s">
        <v>77</v>
      </c>
      <c r="B41" s="3">
        <v>280000000</v>
      </c>
      <c r="C41" t="s">
        <v>16</v>
      </c>
      <c r="D41" t="s">
        <v>134</v>
      </c>
      <c r="E41" t="s">
        <v>134</v>
      </c>
      <c r="F41" t="s">
        <v>164</v>
      </c>
      <c r="G41">
        <v>4</v>
      </c>
      <c r="H41">
        <v>4</v>
      </c>
      <c r="I41">
        <v>5</v>
      </c>
      <c r="J41" t="s">
        <v>29</v>
      </c>
      <c r="K41" t="s">
        <v>20</v>
      </c>
      <c r="L41" t="s">
        <v>165</v>
      </c>
      <c r="M41" s="1">
        <v>46082</v>
      </c>
      <c r="N41" s="1">
        <v>46136</v>
      </c>
      <c r="O41" t="s">
        <v>166</v>
      </c>
    </row>
    <row r="42" spans="1:15" x14ac:dyDescent="0.3">
      <c r="A42" t="s">
        <v>167</v>
      </c>
      <c r="B42" s="3">
        <v>550000000</v>
      </c>
      <c r="C42" t="s">
        <v>16</v>
      </c>
      <c r="D42" t="s">
        <v>134</v>
      </c>
      <c r="E42" t="s">
        <v>134</v>
      </c>
      <c r="F42" t="s">
        <v>164</v>
      </c>
      <c r="G42">
        <v>7</v>
      </c>
      <c r="H42">
        <v>7</v>
      </c>
      <c r="I42">
        <v>8</v>
      </c>
      <c r="J42" t="s">
        <v>38</v>
      </c>
      <c r="K42" t="s">
        <v>20</v>
      </c>
      <c r="L42" t="s">
        <v>168</v>
      </c>
      <c r="M42" s="1">
        <v>46121</v>
      </c>
      <c r="N42" s="1">
        <v>46136</v>
      </c>
      <c r="O42" t="s">
        <v>169</v>
      </c>
    </row>
    <row r="43" spans="1:15" x14ac:dyDescent="0.3">
      <c r="A43" t="s">
        <v>107</v>
      </c>
      <c r="B43" s="3">
        <v>400000000</v>
      </c>
      <c r="C43" t="s">
        <v>16</v>
      </c>
      <c r="D43" t="s">
        <v>134</v>
      </c>
      <c r="E43" t="s">
        <v>134</v>
      </c>
      <c r="F43" t="s">
        <v>164</v>
      </c>
      <c r="G43">
        <v>5</v>
      </c>
      <c r="H43">
        <v>5</v>
      </c>
      <c r="I43">
        <v>6</v>
      </c>
      <c r="J43" t="s">
        <v>38</v>
      </c>
      <c r="K43" t="s">
        <v>20</v>
      </c>
      <c r="L43" t="s">
        <v>170</v>
      </c>
      <c r="M43" s="1">
        <v>46048</v>
      </c>
      <c r="N43" s="1">
        <v>46136</v>
      </c>
      <c r="O43" t="s">
        <v>171</v>
      </c>
    </row>
    <row r="44" spans="1:15" x14ac:dyDescent="0.3">
      <c r="A44" t="s">
        <v>172</v>
      </c>
      <c r="B44" s="3">
        <v>250000000</v>
      </c>
      <c r="C44" t="s">
        <v>16</v>
      </c>
      <c r="D44" t="s">
        <v>134</v>
      </c>
      <c r="E44" t="s">
        <v>134</v>
      </c>
      <c r="F44" t="s">
        <v>164</v>
      </c>
      <c r="G44">
        <v>5</v>
      </c>
      <c r="H44">
        <v>5</v>
      </c>
      <c r="I44">
        <v>6</v>
      </c>
      <c r="J44" t="s">
        <v>29</v>
      </c>
      <c r="K44" t="s">
        <v>20</v>
      </c>
      <c r="L44" t="s">
        <v>173</v>
      </c>
      <c r="M44" s="1">
        <v>46038</v>
      </c>
      <c r="N44" s="1">
        <v>46136</v>
      </c>
      <c r="O44" t="s">
        <v>174</v>
      </c>
    </row>
    <row r="45" spans="1:15" x14ac:dyDescent="0.3">
      <c r="A45" t="s">
        <v>175</v>
      </c>
      <c r="B45" s="3">
        <v>120000000</v>
      </c>
      <c r="C45" t="s">
        <v>16</v>
      </c>
      <c r="D45" t="s">
        <v>134</v>
      </c>
      <c r="E45" t="s">
        <v>134</v>
      </c>
      <c r="F45" t="s">
        <v>176</v>
      </c>
      <c r="G45">
        <v>2</v>
      </c>
      <c r="J45" t="s">
        <v>19</v>
      </c>
      <c r="K45" t="s">
        <v>20</v>
      </c>
      <c r="L45" t="s">
        <v>177</v>
      </c>
      <c r="M45" s="1">
        <v>46043</v>
      </c>
      <c r="N45" s="1">
        <v>46136</v>
      </c>
      <c r="O45" t="s">
        <v>178</v>
      </c>
    </row>
    <row r="46" spans="1:15" x14ac:dyDescent="0.3">
      <c r="A46" t="s">
        <v>179</v>
      </c>
      <c r="B46" s="3">
        <v>65000000</v>
      </c>
      <c r="C46" t="s">
        <v>16</v>
      </c>
      <c r="D46" t="s">
        <v>134</v>
      </c>
      <c r="E46" t="s">
        <v>134</v>
      </c>
      <c r="F46" t="s">
        <v>180</v>
      </c>
      <c r="G46">
        <v>3</v>
      </c>
      <c r="H46">
        <v>4</v>
      </c>
      <c r="I46">
        <v>4</v>
      </c>
      <c r="J46" t="s">
        <v>19</v>
      </c>
      <c r="K46" t="s">
        <v>20</v>
      </c>
      <c r="L46" t="s">
        <v>181</v>
      </c>
      <c r="M46" s="1">
        <v>46137</v>
      </c>
      <c r="N46" s="1">
        <v>46137</v>
      </c>
      <c r="O46" t="s">
        <v>182</v>
      </c>
    </row>
    <row r="47" spans="1:15" x14ac:dyDescent="0.3">
      <c r="A47" t="s">
        <v>183</v>
      </c>
      <c r="B47" s="3">
        <v>200000000</v>
      </c>
      <c r="C47" t="s">
        <v>16</v>
      </c>
      <c r="D47" t="s">
        <v>134</v>
      </c>
      <c r="E47" t="s">
        <v>134</v>
      </c>
      <c r="F47" t="s">
        <v>184</v>
      </c>
      <c r="G47">
        <v>4</v>
      </c>
      <c r="H47">
        <v>4</v>
      </c>
      <c r="I47">
        <v>5</v>
      </c>
      <c r="J47" t="s">
        <v>29</v>
      </c>
      <c r="K47" t="s">
        <v>20</v>
      </c>
      <c r="L47" t="s">
        <v>185</v>
      </c>
      <c r="M47" s="1">
        <v>45954</v>
      </c>
      <c r="N47" s="1">
        <v>46136</v>
      </c>
      <c r="O47" t="s">
        <v>186</v>
      </c>
    </row>
    <row r="48" spans="1:15" x14ac:dyDescent="0.3">
      <c r="A48" t="s">
        <v>187</v>
      </c>
      <c r="B48" s="3">
        <v>600000000</v>
      </c>
      <c r="C48" t="s">
        <v>16</v>
      </c>
      <c r="D48" t="s">
        <v>134</v>
      </c>
      <c r="E48" t="s">
        <v>134</v>
      </c>
      <c r="F48" t="s">
        <v>188</v>
      </c>
      <c r="G48">
        <v>7</v>
      </c>
      <c r="H48">
        <v>7</v>
      </c>
      <c r="I48">
        <v>8</v>
      </c>
      <c r="J48" t="s">
        <v>38</v>
      </c>
      <c r="K48" t="s">
        <v>20</v>
      </c>
      <c r="L48" t="s">
        <v>189</v>
      </c>
      <c r="M48" s="1">
        <v>45900</v>
      </c>
      <c r="N48" s="1">
        <v>46136</v>
      </c>
      <c r="O48" t="s">
        <v>190</v>
      </c>
    </row>
    <row r="49" spans="1:15" x14ac:dyDescent="0.3">
      <c r="A49" t="s">
        <v>191</v>
      </c>
      <c r="B49" s="3">
        <v>155000000</v>
      </c>
      <c r="C49" t="s">
        <v>16</v>
      </c>
      <c r="D49" t="s">
        <v>134</v>
      </c>
      <c r="E49" t="s">
        <v>134</v>
      </c>
      <c r="F49" t="s">
        <v>192</v>
      </c>
      <c r="G49">
        <v>3</v>
      </c>
      <c r="H49">
        <v>3</v>
      </c>
      <c r="I49">
        <v>4</v>
      </c>
      <c r="J49" t="s">
        <v>193</v>
      </c>
      <c r="K49" t="s">
        <v>20</v>
      </c>
      <c r="L49" t="s">
        <v>194</v>
      </c>
      <c r="M49" s="1">
        <v>45930</v>
      </c>
      <c r="N49" s="1">
        <v>46136</v>
      </c>
      <c r="O49" t="s">
        <v>195</v>
      </c>
    </row>
    <row r="50" spans="1:15" x14ac:dyDescent="0.3">
      <c r="A50" t="s">
        <v>196</v>
      </c>
      <c r="B50" s="3">
        <v>270000000</v>
      </c>
      <c r="C50" t="s">
        <v>16</v>
      </c>
      <c r="D50" t="s">
        <v>134</v>
      </c>
      <c r="E50" t="s">
        <v>134</v>
      </c>
      <c r="F50" t="s">
        <v>153</v>
      </c>
      <c r="G50">
        <v>3</v>
      </c>
      <c r="H50">
        <v>3</v>
      </c>
      <c r="I50">
        <v>4</v>
      </c>
      <c r="J50" t="s">
        <v>70</v>
      </c>
      <c r="K50" t="s">
        <v>20</v>
      </c>
      <c r="L50" t="s">
        <v>197</v>
      </c>
      <c r="M50" s="1">
        <v>45837</v>
      </c>
      <c r="N50" s="1">
        <v>46136</v>
      </c>
      <c r="O50" t="s">
        <v>198</v>
      </c>
    </row>
    <row r="51" spans="1:15" x14ac:dyDescent="0.3">
      <c r="A51" t="s">
        <v>199</v>
      </c>
      <c r="B51" s="3">
        <v>102199875</v>
      </c>
      <c r="C51" t="s">
        <v>16</v>
      </c>
      <c r="D51" t="s">
        <v>200</v>
      </c>
      <c r="E51" t="s">
        <v>200</v>
      </c>
      <c r="F51" t="s">
        <v>201</v>
      </c>
      <c r="G51">
        <v>3</v>
      </c>
      <c r="H51">
        <v>3</v>
      </c>
      <c r="I51">
        <v>4</v>
      </c>
      <c r="J51" t="s">
        <v>19</v>
      </c>
      <c r="K51" t="s">
        <v>20</v>
      </c>
      <c r="L51" t="s">
        <v>202</v>
      </c>
      <c r="M51" s="1">
        <v>46084</v>
      </c>
      <c r="N51" s="1">
        <v>46136</v>
      </c>
      <c r="O51" t="s">
        <v>203</v>
      </c>
    </row>
    <row r="52" spans="1:15" x14ac:dyDescent="0.3">
      <c r="A52" t="s">
        <v>204</v>
      </c>
      <c r="B52" s="3">
        <v>170000000</v>
      </c>
      <c r="C52" t="s">
        <v>16</v>
      </c>
      <c r="D52" t="s">
        <v>200</v>
      </c>
      <c r="E52" t="s">
        <v>200</v>
      </c>
      <c r="F52" t="s">
        <v>205</v>
      </c>
      <c r="G52">
        <v>4</v>
      </c>
      <c r="H52">
        <v>4</v>
      </c>
      <c r="I52">
        <v>5</v>
      </c>
      <c r="J52" t="s">
        <v>193</v>
      </c>
      <c r="K52" t="s">
        <v>20</v>
      </c>
      <c r="L52" t="s">
        <v>206</v>
      </c>
      <c r="M52" s="1">
        <v>46108</v>
      </c>
      <c r="N52" s="1">
        <v>46136</v>
      </c>
      <c r="O52" t="s">
        <v>207</v>
      </c>
    </row>
    <row r="53" spans="1:15" x14ac:dyDescent="0.3">
      <c r="A53" t="s">
        <v>208</v>
      </c>
      <c r="B53" s="3">
        <v>36508320</v>
      </c>
      <c r="C53" t="s">
        <v>16</v>
      </c>
      <c r="D53" t="s">
        <v>200</v>
      </c>
      <c r="E53" t="s">
        <v>200</v>
      </c>
      <c r="F53" t="s">
        <v>209</v>
      </c>
      <c r="G53">
        <v>2</v>
      </c>
      <c r="H53">
        <v>2</v>
      </c>
      <c r="I53">
        <v>3</v>
      </c>
      <c r="J53" t="s">
        <v>19</v>
      </c>
      <c r="K53" t="s">
        <v>20</v>
      </c>
      <c r="L53" t="s">
        <v>210</v>
      </c>
      <c r="M53" s="1">
        <v>46084</v>
      </c>
      <c r="N53" s="1">
        <v>46136</v>
      </c>
      <c r="O53" t="s">
        <v>211</v>
      </c>
    </row>
    <row r="54" spans="1:15" x14ac:dyDescent="0.3">
      <c r="A54" t="s">
        <v>212</v>
      </c>
      <c r="B54" s="3">
        <v>52080376</v>
      </c>
      <c r="C54" t="s">
        <v>16</v>
      </c>
      <c r="D54" t="s">
        <v>200</v>
      </c>
      <c r="E54" t="s">
        <v>200</v>
      </c>
      <c r="F54" t="s">
        <v>209</v>
      </c>
      <c r="G54">
        <v>1</v>
      </c>
      <c r="H54">
        <v>1</v>
      </c>
      <c r="I54">
        <v>2</v>
      </c>
      <c r="J54" t="s">
        <v>19</v>
      </c>
      <c r="K54" t="s">
        <v>20</v>
      </c>
      <c r="L54" t="s">
        <v>213</v>
      </c>
      <c r="M54" s="1">
        <v>46084</v>
      </c>
      <c r="N54" s="1">
        <v>46136</v>
      </c>
      <c r="O54" t="s">
        <v>214</v>
      </c>
    </row>
    <row r="55" spans="1:15" x14ac:dyDescent="0.3">
      <c r="A55" t="s">
        <v>215</v>
      </c>
      <c r="B55" s="3">
        <v>130000000</v>
      </c>
      <c r="C55" t="s">
        <v>16</v>
      </c>
      <c r="D55" t="s">
        <v>200</v>
      </c>
      <c r="E55" t="s">
        <v>200</v>
      </c>
      <c r="F55" t="s">
        <v>216</v>
      </c>
      <c r="G55">
        <v>4</v>
      </c>
      <c r="H55">
        <v>4</v>
      </c>
      <c r="I55">
        <v>5</v>
      </c>
      <c r="J55" t="s">
        <v>38</v>
      </c>
      <c r="K55" t="s">
        <v>20</v>
      </c>
      <c r="L55" t="s">
        <v>217</v>
      </c>
      <c r="M55" s="1">
        <v>46130</v>
      </c>
      <c r="N55" s="1">
        <v>46139</v>
      </c>
      <c r="O55" t="s">
        <v>218</v>
      </c>
    </row>
    <row r="56" spans="1:15" x14ac:dyDescent="0.3">
      <c r="A56" t="s">
        <v>219</v>
      </c>
      <c r="B56" s="3">
        <v>55000000</v>
      </c>
      <c r="C56" t="s">
        <v>16</v>
      </c>
      <c r="D56" t="s">
        <v>200</v>
      </c>
      <c r="E56" t="s">
        <v>200</v>
      </c>
      <c r="F56" t="s">
        <v>220</v>
      </c>
      <c r="G56">
        <v>4</v>
      </c>
      <c r="H56">
        <v>4</v>
      </c>
      <c r="I56">
        <v>5</v>
      </c>
      <c r="J56" t="s">
        <v>38</v>
      </c>
      <c r="K56" t="s">
        <v>20</v>
      </c>
      <c r="L56" t="s">
        <v>221</v>
      </c>
      <c r="M56" s="1">
        <v>46139</v>
      </c>
      <c r="N56" s="1">
        <v>46139</v>
      </c>
      <c r="O56" t="s">
        <v>222</v>
      </c>
    </row>
    <row r="57" spans="1:15" x14ac:dyDescent="0.3">
      <c r="A57" t="s">
        <v>223</v>
      </c>
      <c r="B57" s="3">
        <v>200000000</v>
      </c>
      <c r="C57" t="s">
        <v>16</v>
      </c>
      <c r="D57" t="s">
        <v>200</v>
      </c>
      <c r="E57" t="s">
        <v>200</v>
      </c>
      <c r="F57" t="s">
        <v>224</v>
      </c>
      <c r="G57">
        <v>3</v>
      </c>
      <c r="H57">
        <v>3</v>
      </c>
      <c r="I57">
        <v>4</v>
      </c>
      <c r="J57" t="s">
        <v>91</v>
      </c>
      <c r="K57" t="s">
        <v>20</v>
      </c>
      <c r="L57" t="s">
        <v>225</v>
      </c>
      <c r="M57" s="1">
        <v>46138</v>
      </c>
      <c r="N57" s="1">
        <v>46138</v>
      </c>
      <c r="O57" t="s">
        <v>226</v>
      </c>
    </row>
    <row r="58" spans="1:15" x14ac:dyDescent="0.3">
      <c r="A58" t="s">
        <v>227</v>
      </c>
      <c r="B58" s="3">
        <v>120000000</v>
      </c>
      <c r="C58" t="s">
        <v>16</v>
      </c>
      <c r="D58" t="s">
        <v>200</v>
      </c>
      <c r="E58" t="s">
        <v>200</v>
      </c>
      <c r="F58" t="s">
        <v>228</v>
      </c>
      <c r="G58">
        <v>2</v>
      </c>
      <c r="H58">
        <v>2</v>
      </c>
      <c r="I58">
        <v>3</v>
      </c>
      <c r="J58" t="s">
        <v>19</v>
      </c>
      <c r="K58" t="s">
        <v>20</v>
      </c>
      <c r="L58" t="s">
        <v>229</v>
      </c>
      <c r="M58" s="1">
        <v>45966</v>
      </c>
      <c r="N58" s="1">
        <v>46136</v>
      </c>
      <c r="O58" t="s">
        <v>230</v>
      </c>
    </row>
    <row r="59" spans="1:15" x14ac:dyDescent="0.3">
      <c r="A59" t="s">
        <v>231</v>
      </c>
      <c r="B59" s="3">
        <v>250000000</v>
      </c>
      <c r="C59" t="s">
        <v>16</v>
      </c>
      <c r="D59" t="s">
        <v>200</v>
      </c>
      <c r="E59" t="s">
        <v>200</v>
      </c>
      <c r="F59" t="s">
        <v>232</v>
      </c>
      <c r="G59">
        <v>5</v>
      </c>
      <c r="H59">
        <v>5</v>
      </c>
      <c r="I59">
        <v>6</v>
      </c>
      <c r="J59" t="s">
        <v>91</v>
      </c>
      <c r="K59" t="s">
        <v>20</v>
      </c>
      <c r="L59" t="s">
        <v>233</v>
      </c>
      <c r="M59" s="1">
        <v>45850</v>
      </c>
      <c r="N59" s="1">
        <v>46136</v>
      </c>
      <c r="O59" t="s">
        <v>234</v>
      </c>
    </row>
    <row r="60" spans="1:15" x14ac:dyDescent="0.3">
      <c r="A60" t="s">
        <v>235</v>
      </c>
      <c r="B60" s="3">
        <v>1800000000</v>
      </c>
      <c r="C60" t="s">
        <v>16</v>
      </c>
      <c r="D60" t="s">
        <v>236</v>
      </c>
      <c r="E60" t="s">
        <v>236</v>
      </c>
      <c r="F60" t="s">
        <v>237</v>
      </c>
      <c r="G60">
        <v>7</v>
      </c>
      <c r="H60">
        <v>7</v>
      </c>
      <c r="I60">
        <v>8</v>
      </c>
      <c r="J60" t="s">
        <v>70</v>
      </c>
      <c r="K60" t="s">
        <v>20</v>
      </c>
      <c r="L60" t="s">
        <v>238</v>
      </c>
      <c r="M60" s="1">
        <v>46134</v>
      </c>
      <c r="N60" s="1">
        <v>46136</v>
      </c>
      <c r="O60" t="s">
        <v>239</v>
      </c>
    </row>
    <row r="61" spans="1:15" x14ac:dyDescent="0.3">
      <c r="A61" t="s">
        <v>240</v>
      </c>
      <c r="B61" s="3">
        <v>280000000</v>
      </c>
      <c r="C61" t="s">
        <v>16</v>
      </c>
      <c r="D61" t="s">
        <v>236</v>
      </c>
      <c r="E61" t="s">
        <v>236</v>
      </c>
      <c r="F61" t="s">
        <v>237</v>
      </c>
      <c r="G61">
        <v>3</v>
      </c>
      <c r="H61">
        <v>4</v>
      </c>
      <c r="I61">
        <v>5</v>
      </c>
      <c r="J61" t="s">
        <v>19</v>
      </c>
      <c r="K61" t="s">
        <v>20</v>
      </c>
      <c r="L61" t="s">
        <v>241</v>
      </c>
      <c r="M61" s="1">
        <v>46128</v>
      </c>
      <c r="N61" s="1">
        <v>46136</v>
      </c>
      <c r="O61" t="s">
        <v>242</v>
      </c>
    </row>
    <row r="62" spans="1:15" x14ac:dyDescent="0.3">
      <c r="A62" t="s">
        <v>243</v>
      </c>
      <c r="B62" s="3">
        <v>120000000</v>
      </c>
      <c r="C62" t="s">
        <v>16</v>
      </c>
      <c r="D62" t="s">
        <v>236</v>
      </c>
      <c r="E62" t="s">
        <v>236</v>
      </c>
      <c r="F62" t="s">
        <v>244</v>
      </c>
      <c r="G62">
        <v>3</v>
      </c>
      <c r="H62">
        <v>3</v>
      </c>
      <c r="I62">
        <v>4</v>
      </c>
      <c r="J62" t="s">
        <v>19</v>
      </c>
      <c r="K62" t="s">
        <v>20</v>
      </c>
      <c r="L62" t="s">
        <v>245</v>
      </c>
      <c r="M62" s="1">
        <v>46112</v>
      </c>
      <c r="N62" s="1">
        <v>46136</v>
      </c>
      <c r="O62" t="s">
        <v>246</v>
      </c>
    </row>
    <row r="63" spans="1:15" x14ac:dyDescent="0.3">
      <c r="A63" t="s">
        <v>247</v>
      </c>
      <c r="B63" s="3">
        <v>330000000</v>
      </c>
      <c r="C63" t="s">
        <v>16</v>
      </c>
      <c r="D63" t="s">
        <v>236</v>
      </c>
      <c r="E63" t="s">
        <v>236</v>
      </c>
      <c r="F63" t="s">
        <v>237</v>
      </c>
      <c r="G63">
        <v>4</v>
      </c>
      <c r="H63">
        <v>4</v>
      </c>
      <c r="I63">
        <v>5</v>
      </c>
      <c r="J63" t="s">
        <v>91</v>
      </c>
      <c r="K63" t="s">
        <v>20</v>
      </c>
      <c r="L63" t="s">
        <v>248</v>
      </c>
      <c r="M63" s="1">
        <v>46114</v>
      </c>
      <c r="N63" s="1">
        <v>46136</v>
      </c>
      <c r="O63" t="s">
        <v>249</v>
      </c>
    </row>
    <row r="64" spans="1:15" x14ac:dyDescent="0.3">
      <c r="A64" t="s">
        <v>250</v>
      </c>
      <c r="B64" s="3">
        <v>85000000</v>
      </c>
      <c r="C64" t="s">
        <v>16</v>
      </c>
      <c r="D64" t="s">
        <v>236</v>
      </c>
      <c r="E64" t="s">
        <v>236</v>
      </c>
      <c r="F64" t="s">
        <v>251</v>
      </c>
      <c r="G64">
        <v>3</v>
      </c>
      <c r="H64">
        <v>3</v>
      </c>
      <c r="I64">
        <v>4</v>
      </c>
      <c r="J64" t="s">
        <v>19</v>
      </c>
      <c r="K64" t="s">
        <v>20</v>
      </c>
      <c r="L64" t="s">
        <v>252</v>
      </c>
      <c r="M64" s="1">
        <v>45945</v>
      </c>
      <c r="N64" s="1">
        <v>46136</v>
      </c>
      <c r="O64" t="s">
        <v>253</v>
      </c>
    </row>
    <row r="65" spans="1:15" x14ac:dyDescent="0.3">
      <c r="A65" t="s">
        <v>254</v>
      </c>
      <c r="B65" s="3">
        <v>250000000</v>
      </c>
      <c r="C65" t="s">
        <v>16</v>
      </c>
      <c r="D65" t="s">
        <v>236</v>
      </c>
      <c r="E65" t="s">
        <v>236</v>
      </c>
      <c r="F65" t="s">
        <v>255</v>
      </c>
      <c r="G65">
        <v>4</v>
      </c>
      <c r="H65">
        <v>4</v>
      </c>
      <c r="I65">
        <v>5</v>
      </c>
      <c r="J65" t="s">
        <v>29</v>
      </c>
      <c r="K65" t="s">
        <v>20</v>
      </c>
      <c r="L65" t="s">
        <v>256</v>
      </c>
      <c r="M65" s="1">
        <v>45815</v>
      </c>
      <c r="N65" s="1">
        <v>46136</v>
      </c>
      <c r="O65" t="s">
        <v>257</v>
      </c>
    </row>
    <row r="66" spans="1:15" x14ac:dyDescent="0.3">
      <c r="A66" t="s">
        <v>258</v>
      </c>
      <c r="B66" s="3">
        <v>75000000</v>
      </c>
      <c r="C66" t="s">
        <v>16</v>
      </c>
      <c r="D66" t="s">
        <v>259</v>
      </c>
      <c r="E66" t="s">
        <v>259</v>
      </c>
      <c r="F66" t="s">
        <v>260</v>
      </c>
      <c r="G66">
        <v>2</v>
      </c>
      <c r="H66">
        <v>2</v>
      </c>
      <c r="I66">
        <v>3</v>
      </c>
      <c r="J66" t="s">
        <v>19</v>
      </c>
      <c r="K66" t="s">
        <v>20</v>
      </c>
      <c r="L66" t="s">
        <v>261</v>
      </c>
      <c r="M66" s="1">
        <v>46116</v>
      </c>
      <c r="N66" s="1">
        <v>46136</v>
      </c>
      <c r="O66" t="s">
        <v>262</v>
      </c>
    </row>
    <row r="67" spans="1:15" x14ac:dyDescent="0.3">
      <c r="A67" t="s">
        <v>133</v>
      </c>
      <c r="B67" s="3">
        <v>370000000</v>
      </c>
      <c r="C67" t="s">
        <v>16</v>
      </c>
      <c r="D67" t="s">
        <v>236</v>
      </c>
      <c r="E67" t="s">
        <v>236</v>
      </c>
      <c r="F67" t="s">
        <v>237</v>
      </c>
      <c r="G67">
        <v>4</v>
      </c>
      <c r="H67">
        <v>4</v>
      </c>
      <c r="I67">
        <v>5</v>
      </c>
      <c r="J67" t="s">
        <v>29</v>
      </c>
      <c r="K67" t="s">
        <v>20</v>
      </c>
      <c r="L67" t="s">
        <v>263</v>
      </c>
      <c r="M67" s="1">
        <v>46014</v>
      </c>
      <c r="N67" s="1">
        <v>46136</v>
      </c>
      <c r="O67" t="s">
        <v>264</v>
      </c>
    </row>
    <row r="68" spans="1:15" x14ac:dyDescent="0.3">
      <c r="A68" t="s">
        <v>265</v>
      </c>
      <c r="B68" s="3">
        <v>285000000</v>
      </c>
      <c r="C68" t="s">
        <v>16</v>
      </c>
      <c r="D68" t="s">
        <v>236</v>
      </c>
      <c r="E68" t="s">
        <v>236</v>
      </c>
      <c r="F68" t="s">
        <v>266</v>
      </c>
      <c r="G68">
        <v>4</v>
      </c>
      <c r="H68">
        <v>4</v>
      </c>
      <c r="I68">
        <v>5</v>
      </c>
      <c r="J68" t="s">
        <v>91</v>
      </c>
      <c r="K68" t="s">
        <v>20</v>
      </c>
      <c r="L68" t="s">
        <v>267</v>
      </c>
      <c r="M68" s="1">
        <v>45877</v>
      </c>
      <c r="N68" s="1">
        <v>46136</v>
      </c>
      <c r="O68" t="s">
        <v>268</v>
      </c>
    </row>
    <row r="69" spans="1:15" x14ac:dyDescent="0.3">
      <c r="A69" t="s">
        <v>133</v>
      </c>
      <c r="B69" s="3">
        <v>330000000</v>
      </c>
      <c r="C69" t="s">
        <v>16</v>
      </c>
      <c r="D69" t="s">
        <v>236</v>
      </c>
      <c r="E69" t="s">
        <v>236</v>
      </c>
      <c r="F69" t="s">
        <v>251</v>
      </c>
      <c r="G69">
        <v>4</v>
      </c>
      <c r="H69">
        <v>4</v>
      </c>
      <c r="I69">
        <v>5</v>
      </c>
      <c r="J69" t="s">
        <v>29</v>
      </c>
      <c r="K69" t="s">
        <v>20</v>
      </c>
      <c r="L69" t="s">
        <v>269</v>
      </c>
      <c r="M69" s="1">
        <v>45957</v>
      </c>
      <c r="N69" s="1">
        <v>46136</v>
      </c>
      <c r="O69" t="s">
        <v>270</v>
      </c>
    </row>
    <row r="70" spans="1:15" x14ac:dyDescent="0.3">
      <c r="A70" t="s">
        <v>271</v>
      </c>
      <c r="B70" s="3">
        <v>200000000</v>
      </c>
      <c r="C70" t="s">
        <v>16</v>
      </c>
      <c r="D70" t="s">
        <v>236</v>
      </c>
      <c r="E70" t="s">
        <v>236</v>
      </c>
      <c r="F70" t="s">
        <v>272</v>
      </c>
      <c r="G70">
        <v>4</v>
      </c>
      <c r="H70">
        <v>4</v>
      </c>
      <c r="I70">
        <v>5</v>
      </c>
      <c r="J70" t="s">
        <v>19</v>
      </c>
      <c r="K70" t="s">
        <v>20</v>
      </c>
      <c r="L70" t="s">
        <v>273</v>
      </c>
      <c r="M70" s="1">
        <v>45920</v>
      </c>
      <c r="N70" s="1">
        <v>46136</v>
      </c>
      <c r="O70" t="s">
        <v>274</v>
      </c>
    </row>
    <row r="71" spans="1:15" x14ac:dyDescent="0.3">
      <c r="A71" t="s">
        <v>275</v>
      </c>
      <c r="B71" s="3">
        <v>400000000</v>
      </c>
      <c r="C71" t="s">
        <v>16</v>
      </c>
      <c r="D71" t="s">
        <v>236</v>
      </c>
      <c r="E71" t="s">
        <v>236</v>
      </c>
      <c r="F71" t="s">
        <v>276</v>
      </c>
      <c r="G71">
        <v>5</v>
      </c>
      <c r="H71">
        <v>5</v>
      </c>
      <c r="I71">
        <v>6</v>
      </c>
      <c r="J71" t="s">
        <v>29</v>
      </c>
      <c r="K71" t="s">
        <v>20</v>
      </c>
      <c r="L71" t="s">
        <v>277</v>
      </c>
      <c r="M71" s="1">
        <v>45894</v>
      </c>
      <c r="N71" s="1">
        <v>46136</v>
      </c>
      <c r="O71" t="s">
        <v>278</v>
      </c>
    </row>
    <row r="72" spans="1:15" x14ac:dyDescent="0.3">
      <c r="A72" t="s">
        <v>279</v>
      </c>
      <c r="B72" s="3">
        <v>225000000</v>
      </c>
      <c r="C72" t="s">
        <v>16</v>
      </c>
      <c r="D72" t="s">
        <v>236</v>
      </c>
      <c r="E72" t="s">
        <v>236</v>
      </c>
      <c r="F72" t="s">
        <v>280</v>
      </c>
      <c r="G72">
        <v>3</v>
      </c>
      <c r="H72">
        <v>3</v>
      </c>
      <c r="I72">
        <v>4</v>
      </c>
      <c r="J72" t="s">
        <v>19</v>
      </c>
      <c r="K72" t="s">
        <v>20</v>
      </c>
      <c r="L72" t="s">
        <v>281</v>
      </c>
      <c r="M72" s="1">
        <v>46106</v>
      </c>
      <c r="N72" s="1">
        <v>46136</v>
      </c>
      <c r="O72" t="s">
        <v>282</v>
      </c>
    </row>
    <row r="73" spans="1:15" x14ac:dyDescent="0.3">
      <c r="A73" t="s">
        <v>283</v>
      </c>
      <c r="B73" s="3">
        <v>750000000</v>
      </c>
      <c r="C73" t="s">
        <v>16</v>
      </c>
      <c r="D73" t="s">
        <v>284</v>
      </c>
      <c r="E73" t="s">
        <v>284</v>
      </c>
      <c r="F73" t="s">
        <v>285</v>
      </c>
      <c r="G73">
        <v>6</v>
      </c>
      <c r="H73">
        <v>6</v>
      </c>
      <c r="I73">
        <v>7</v>
      </c>
      <c r="J73" t="s">
        <v>38</v>
      </c>
      <c r="K73" t="s">
        <v>20</v>
      </c>
      <c r="L73" t="s">
        <v>286</v>
      </c>
      <c r="M73" s="1">
        <v>46062</v>
      </c>
      <c r="N73" s="1">
        <v>46136</v>
      </c>
      <c r="O73" t="s">
        <v>287</v>
      </c>
    </row>
    <row r="74" spans="1:15" x14ac:dyDescent="0.3">
      <c r="A74" t="s">
        <v>288</v>
      </c>
      <c r="B74" s="3">
        <v>350000000</v>
      </c>
      <c r="C74" t="s">
        <v>16</v>
      </c>
      <c r="D74" t="s">
        <v>284</v>
      </c>
      <c r="E74" t="s">
        <v>284</v>
      </c>
      <c r="F74" t="s">
        <v>289</v>
      </c>
      <c r="G74">
        <v>5</v>
      </c>
      <c r="H74">
        <v>5</v>
      </c>
      <c r="I74">
        <v>6</v>
      </c>
      <c r="J74" t="s">
        <v>38</v>
      </c>
      <c r="K74" t="s">
        <v>20</v>
      </c>
      <c r="L74" t="s">
        <v>290</v>
      </c>
      <c r="M74" s="1">
        <v>46136</v>
      </c>
      <c r="N74" s="1">
        <v>46138</v>
      </c>
      <c r="O74" t="s">
        <v>291</v>
      </c>
    </row>
    <row r="75" spans="1:15" x14ac:dyDescent="0.3">
      <c r="A75" t="s">
        <v>292</v>
      </c>
      <c r="B75" s="3">
        <v>1100000000</v>
      </c>
      <c r="C75" t="s">
        <v>16</v>
      </c>
      <c r="D75" t="s">
        <v>284</v>
      </c>
      <c r="E75" t="s">
        <v>284</v>
      </c>
      <c r="F75" t="s">
        <v>293</v>
      </c>
      <c r="G75">
        <v>7</v>
      </c>
      <c r="H75">
        <v>7</v>
      </c>
      <c r="I75">
        <v>8</v>
      </c>
      <c r="J75" t="s">
        <v>91</v>
      </c>
      <c r="K75" t="s">
        <v>20</v>
      </c>
      <c r="L75" t="s">
        <v>294</v>
      </c>
      <c r="M75" s="1">
        <v>46052</v>
      </c>
      <c r="N75" s="1">
        <v>46136</v>
      </c>
      <c r="O75" t="s">
        <v>295</v>
      </c>
    </row>
    <row r="76" spans="1:15" x14ac:dyDescent="0.3">
      <c r="A76" t="s">
        <v>144</v>
      </c>
      <c r="B76" s="3">
        <v>550000000</v>
      </c>
      <c r="C76" t="s">
        <v>16</v>
      </c>
      <c r="D76" t="s">
        <v>284</v>
      </c>
      <c r="E76" t="s">
        <v>284</v>
      </c>
      <c r="F76" t="s">
        <v>296</v>
      </c>
      <c r="G76">
        <v>4</v>
      </c>
      <c r="H76">
        <v>4</v>
      </c>
      <c r="I76">
        <v>5</v>
      </c>
      <c r="J76" t="s">
        <v>38</v>
      </c>
      <c r="K76" t="s">
        <v>20</v>
      </c>
      <c r="L76" t="s">
        <v>297</v>
      </c>
      <c r="M76" s="1">
        <v>46068</v>
      </c>
      <c r="N76" s="1">
        <v>46136</v>
      </c>
      <c r="O76" t="s">
        <v>298</v>
      </c>
    </row>
    <row r="77" spans="1:15" x14ac:dyDescent="0.3">
      <c r="A77" t="s">
        <v>299</v>
      </c>
      <c r="B77" s="3">
        <v>220000000</v>
      </c>
      <c r="C77" t="s">
        <v>16</v>
      </c>
      <c r="D77" t="s">
        <v>284</v>
      </c>
      <c r="E77" t="s">
        <v>284</v>
      </c>
      <c r="F77" t="s">
        <v>289</v>
      </c>
      <c r="G77">
        <v>3</v>
      </c>
      <c r="H77">
        <v>3</v>
      </c>
      <c r="I77">
        <v>4</v>
      </c>
      <c r="J77" t="s">
        <v>19</v>
      </c>
      <c r="K77" t="s">
        <v>20</v>
      </c>
      <c r="L77" t="s">
        <v>300</v>
      </c>
      <c r="M77" s="1">
        <v>46102</v>
      </c>
      <c r="N77" s="1">
        <v>46136</v>
      </c>
      <c r="O77" t="s">
        <v>301</v>
      </c>
    </row>
    <row r="78" spans="1:15" x14ac:dyDescent="0.3">
      <c r="A78" t="s">
        <v>302</v>
      </c>
      <c r="B78" s="3">
        <v>450000000</v>
      </c>
      <c r="C78" t="s">
        <v>16</v>
      </c>
      <c r="D78" t="s">
        <v>284</v>
      </c>
      <c r="E78" t="s">
        <v>284</v>
      </c>
      <c r="F78" t="s">
        <v>303</v>
      </c>
      <c r="G78">
        <v>6</v>
      </c>
      <c r="H78">
        <v>6</v>
      </c>
      <c r="I78">
        <v>7</v>
      </c>
      <c r="J78" t="s">
        <v>70</v>
      </c>
      <c r="K78" t="s">
        <v>20</v>
      </c>
      <c r="L78" t="s">
        <v>304</v>
      </c>
      <c r="M78" s="1">
        <v>45787</v>
      </c>
      <c r="N78" s="1">
        <v>46136</v>
      </c>
      <c r="O78" t="s">
        <v>305</v>
      </c>
    </row>
    <row r="79" spans="1:15" x14ac:dyDescent="0.3">
      <c r="A79" t="s">
        <v>144</v>
      </c>
      <c r="B79" s="3">
        <v>290000000</v>
      </c>
      <c r="C79" t="s">
        <v>16</v>
      </c>
      <c r="D79" t="s">
        <v>284</v>
      </c>
      <c r="E79" t="s">
        <v>284</v>
      </c>
      <c r="F79" t="s">
        <v>306</v>
      </c>
      <c r="G79">
        <v>4</v>
      </c>
      <c r="H79">
        <v>5</v>
      </c>
      <c r="I79">
        <v>5</v>
      </c>
      <c r="J79" t="s">
        <v>38</v>
      </c>
      <c r="K79" t="s">
        <v>20</v>
      </c>
      <c r="L79" t="s">
        <v>307</v>
      </c>
      <c r="M79" s="1">
        <v>46075</v>
      </c>
      <c r="N79" s="1">
        <v>46136</v>
      </c>
      <c r="O79" t="s">
        <v>308</v>
      </c>
    </row>
    <row r="80" spans="1:15" x14ac:dyDescent="0.3">
      <c r="A80" t="s">
        <v>309</v>
      </c>
      <c r="B80" s="3">
        <v>250000000</v>
      </c>
      <c r="C80" t="s">
        <v>16</v>
      </c>
      <c r="D80" t="s">
        <v>284</v>
      </c>
      <c r="E80" t="s">
        <v>284</v>
      </c>
      <c r="F80" t="s">
        <v>310</v>
      </c>
      <c r="G80">
        <v>4</v>
      </c>
      <c r="H80">
        <v>4</v>
      </c>
      <c r="I80">
        <v>5</v>
      </c>
      <c r="J80" t="s">
        <v>38</v>
      </c>
      <c r="K80" t="s">
        <v>20</v>
      </c>
      <c r="L80" t="s">
        <v>311</v>
      </c>
      <c r="M80" s="1">
        <v>46119</v>
      </c>
      <c r="N80" s="1">
        <v>46134</v>
      </c>
      <c r="O80" t="s">
        <v>312</v>
      </c>
    </row>
    <row r="81" spans="1:15" x14ac:dyDescent="0.3">
      <c r="A81" t="s">
        <v>313</v>
      </c>
      <c r="B81" s="3">
        <v>650000000</v>
      </c>
      <c r="C81" t="s">
        <v>16</v>
      </c>
      <c r="D81" t="s">
        <v>284</v>
      </c>
      <c r="E81" t="s">
        <v>284</v>
      </c>
      <c r="F81" t="s">
        <v>289</v>
      </c>
      <c r="G81">
        <v>6</v>
      </c>
      <c r="H81">
        <v>7</v>
      </c>
      <c r="I81">
        <v>7</v>
      </c>
      <c r="J81" t="s">
        <v>38</v>
      </c>
      <c r="K81" t="s">
        <v>20</v>
      </c>
      <c r="L81" t="s">
        <v>314</v>
      </c>
      <c r="M81" s="1">
        <v>46137</v>
      </c>
      <c r="O81" t="s">
        <v>315</v>
      </c>
    </row>
    <row r="82" spans="1:15" x14ac:dyDescent="0.3">
      <c r="A82" t="s">
        <v>316</v>
      </c>
      <c r="B82" s="3">
        <v>500000000</v>
      </c>
      <c r="C82" t="s">
        <v>16</v>
      </c>
      <c r="D82" t="s">
        <v>284</v>
      </c>
      <c r="E82" t="s">
        <v>284</v>
      </c>
      <c r="F82" t="s">
        <v>289</v>
      </c>
      <c r="G82">
        <v>5</v>
      </c>
      <c r="H82">
        <v>6</v>
      </c>
      <c r="I82">
        <v>6</v>
      </c>
      <c r="J82" t="s">
        <v>38</v>
      </c>
      <c r="K82" t="s">
        <v>20</v>
      </c>
      <c r="L82" t="s">
        <v>317</v>
      </c>
      <c r="M82" s="1">
        <v>46136</v>
      </c>
      <c r="N82" s="1">
        <v>46136</v>
      </c>
      <c r="O82" t="s">
        <v>318</v>
      </c>
    </row>
    <row r="83" spans="1:15" x14ac:dyDescent="0.3">
      <c r="A83" t="s">
        <v>271</v>
      </c>
      <c r="B83" s="3">
        <v>350000000</v>
      </c>
      <c r="C83" t="s">
        <v>16</v>
      </c>
      <c r="D83" t="s">
        <v>284</v>
      </c>
      <c r="E83" t="s">
        <v>284</v>
      </c>
      <c r="F83" t="s">
        <v>303</v>
      </c>
      <c r="G83">
        <v>4</v>
      </c>
      <c r="H83">
        <v>4</v>
      </c>
      <c r="I83">
        <v>5</v>
      </c>
      <c r="J83" t="s">
        <v>19</v>
      </c>
      <c r="K83" t="s">
        <v>20</v>
      </c>
      <c r="L83" t="s">
        <v>319</v>
      </c>
      <c r="M83" s="1">
        <v>45870</v>
      </c>
      <c r="N83" s="1">
        <v>46136</v>
      </c>
      <c r="O83" t="s">
        <v>320</v>
      </c>
    </row>
    <row r="84" spans="1:15" x14ac:dyDescent="0.3">
      <c r="A84" t="s">
        <v>321</v>
      </c>
      <c r="B84" s="3">
        <v>265000000</v>
      </c>
      <c r="C84" t="s">
        <v>16</v>
      </c>
      <c r="D84" t="s">
        <v>284</v>
      </c>
      <c r="E84" t="s">
        <v>284</v>
      </c>
      <c r="F84" t="s">
        <v>289</v>
      </c>
      <c r="G84">
        <v>3</v>
      </c>
      <c r="H84">
        <v>3</v>
      </c>
      <c r="I84">
        <v>4</v>
      </c>
      <c r="J84" t="s">
        <v>19</v>
      </c>
      <c r="K84" t="s">
        <v>20</v>
      </c>
      <c r="L84" t="s">
        <v>322</v>
      </c>
      <c r="M84" s="1">
        <v>46115</v>
      </c>
      <c r="N84" s="1">
        <v>46136</v>
      </c>
      <c r="O84" t="s">
        <v>323</v>
      </c>
    </row>
    <row r="85" spans="1:15" x14ac:dyDescent="0.3">
      <c r="A85" t="s">
        <v>324</v>
      </c>
      <c r="B85" s="3">
        <v>350000000</v>
      </c>
      <c r="C85" t="s">
        <v>16</v>
      </c>
      <c r="D85" t="s">
        <v>325</v>
      </c>
      <c r="E85" t="s">
        <v>325</v>
      </c>
      <c r="F85" t="s">
        <v>326</v>
      </c>
      <c r="G85">
        <v>4</v>
      </c>
      <c r="H85">
        <v>4</v>
      </c>
      <c r="I85">
        <v>5</v>
      </c>
      <c r="J85" t="s">
        <v>29</v>
      </c>
      <c r="K85" t="s">
        <v>20</v>
      </c>
      <c r="L85" t="s">
        <v>327</v>
      </c>
      <c r="M85" s="1">
        <v>46134</v>
      </c>
      <c r="N85" s="1">
        <v>46138</v>
      </c>
      <c r="O85" t="s">
        <v>328</v>
      </c>
    </row>
    <row r="86" spans="1:15" x14ac:dyDescent="0.3">
      <c r="A86" t="s">
        <v>329</v>
      </c>
      <c r="B86" s="3">
        <v>270000000</v>
      </c>
      <c r="C86" t="s">
        <v>16</v>
      </c>
      <c r="D86" t="s">
        <v>325</v>
      </c>
      <c r="E86" t="s">
        <v>325</v>
      </c>
      <c r="F86" t="s">
        <v>330</v>
      </c>
      <c r="G86">
        <v>4</v>
      </c>
      <c r="H86">
        <v>4</v>
      </c>
      <c r="I86">
        <v>5</v>
      </c>
      <c r="J86" t="s">
        <v>91</v>
      </c>
      <c r="K86" t="s">
        <v>20</v>
      </c>
      <c r="L86" t="s">
        <v>331</v>
      </c>
      <c r="M86" s="1">
        <v>46128</v>
      </c>
      <c r="N86" s="1">
        <v>46136</v>
      </c>
      <c r="O86" t="s">
        <v>332</v>
      </c>
    </row>
    <row r="87" spans="1:15" x14ac:dyDescent="0.3">
      <c r="A87" t="s">
        <v>333</v>
      </c>
      <c r="B87" s="3">
        <v>210000000</v>
      </c>
      <c r="C87" t="s">
        <v>16</v>
      </c>
      <c r="D87" t="s">
        <v>325</v>
      </c>
      <c r="E87" t="s">
        <v>325</v>
      </c>
      <c r="F87" t="s">
        <v>334</v>
      </c>
      <c r="G87">
        <v>3</v>
      </c>
      <c r="H87">
        <v>3</v>
      </c>
      <c r="I87">
        <v>4</v>
      </c>
      <c r="J87" t="s">
        <v>91</v>
      </c>
      <c r="K87" t="s">
        <v>20</v>
      </c>
      <c r="L87" t="s">
        <v>335</v>
      </c>
      <c r="M87" s="1">
        <v>46068</v>
      </c>
      <c r="N87" s="1">
        <v>46136</v>
      </c>
      <c r="O87" t="s">
        <v>336</v>
      </c>
    </row>
    <row r="88" spans="1:15" x14ac:dyDescent="0.3">
      <c r="A88" t="s">
        <v>337</v>
      </c>
      <c r="B88" s="3">
        <v>230000000</v>
      </c>
      <c r="C88" t="s">
        <v>16</v>
      </c>
      <c r="D88" t="s">
        <v>325</v>
      </c>
      <c r="E88" t="s">
        <v>325</v>
      </c>
      <c r="F88" t="s">
        <v>326</v>
      </c>
      <c r="G88">
        <v>4</v>
      </c>
      <c r="H88">
        <v>4</v>
      </c>
      <c r="I88">
        <v>5</v>
      </c>
      <c r="J88" t="s">
        <v>29</v>
      </c>
      <c r="K88" t="s">
        <v>20</v>
      </c>
      <c r="L88" t="s">
        <v>338</v>
      </c>
      <c r="M88" s="1">
        <v>46052</v>
      </c>
      <c r="N88" s="1">
        <v>46136</v>
      </c>
      <c r="O88" t="s">
        <v>339</v>
      </c>
    </row>
    <row r="89" spans="1:15" x14ac:dyDescent="0.3">
      <c r="A89" t="s">
        <v>340</v>
      </c>
      <c r="B89" s="3">
        <v>580000000</v>
      </c>
      <c r="C89" t="s">
        <v>16</v>
      </c>
      <c r="D89" t="s">
        <v>325</v>
      </c>
      <c r="E89" t="s">
        <v>325</v>
      </c>
      <c r="F89" t="s">
        <v>326</v>
      </c>
      <c r="G89">
        <v>5</v>
      </c>
      <c r="H89">
        <v>5</v>
      </c>
      <c r="I89">
        <v>6</v>
      </c>
      <c r="J89" t="s">
        <v>38</v>
      </c>
      <c r="K89" t="s">
        <v>20</v>
      </c>
      <c r="L89" t="s">
        <v>341</v>
      </c>
      <c r="M89" s="1">
        <v>46113</v>
      </c>
      <c r="N89" s="1">
        <v>46136</v>
      </c>
      <c r="O89" t="s">
        <v>342</v>
      </c>
    </row>
    <row r="90" spans="1:15" x14ac:dyDescent="0.3">
      <c r="A90" t="s">
        <v>343</v>
      </c>
      <c r="B90" s="3">
        <v>260000000</v>
      </c>
      <c r="C90" t="s">
        <v>16</v>
      </c>
      <c r="D90" t="s">
        <v>325</v>
      </c>
      <c r="E90" t="s">
        <v>325</v>
      </c>
      <c r="F90" t="s">
        <v>330</v>
      </c>
      <c r="G90">
        <v>4</v>
      </c>
      <c r="H90">
        <v>5</v>
      </c>
      <c r="I90">
        <v>5</v>
      </c>
      <c r="J90" t="s">
        <v>91</v>
      </c>
      <c r="K90" t="s">
        <v>20</v>
      </c>
      <c r="L90" t="s">
        <v>344</v>
      </c>
      <c r="M90" s="1">
        <v>46127</v>
      </c>
      <c r="N90" s="1">
        <v>46136</v>
      </c>
      <c r="O90" t="s">
        <v>345</v>
      </c>
    </row>
    <row r="91" spans="1:15" x14ac:dyDescent="0.3">
      <c r="A91" t="s">
        <v>346</v>
      </c>
      <c r="B91" s="3">
        <v>270000000</v>
      </c>
      <c r="C91" t="s">
        <v>16</v>
      </c>
      <c r="D91" t="s">
        <v>325</v>
      </c>
      <c r="E91" t="s">
        <v>325</v>
      </c>
      <c r="F91" t="s">
        <v>326</v>
      </c>
      <c r="G91">
        <v>4</v>
      </c>
      <c r="H91">
        <v>4</v>
      </c>
      <c r="I91">
        <v>5</v>
      </c>
      <c r="J91" t="s">
        <v>193</v>
      </c>
      <c r="K91" t="s">
        <v>20</v>
      </c>
      <c r="L91" t="s">
        <v>347</v>
      </c>
      <c r="M91" s="1">
        <v>45989</v>
      </c>
      <c r="N91" s="1">
        <v>46136</v>
      </c>
      <c r="O91" t="s">
        <v>348</v>
      </c>
    </row>
    <row r="92" spans="1:15" x14ac:dyDescent="0.3">
      <c r="A92" t="s">
        <v>349</v>
      </c>
      <c r="B92" s="3">
        <v>195000000</v>
      </c>
      <c r="C92" t="s">
        <v>16</v>
      </c>
      <c r="D92" t="s">
        <v>325</v>
      </c>
      <c r="E92" t="s">
        <v>325</v>
      </c>
      <c r="F92" t="s">
        <v>326</v>
      </c>
      <c r="G92">
        <v>4</v>
      </c>
      <c r="H92">
        <v>4</v>
      </c>
      <c r="I92">
        <v>5</v>
      </c>
      <c r="J92" t="s">
        <v>29</v>
      </c>
      <c r="K92" t="s">
        <v>20</v>
      </c>
      <c r="L92" t="s">
        <v>350</v>
      </c>
      <c r="M92" s="1">
        <v>46051</v>
      </c>
      <c r="N92" s="1">
        <v>46136</v>
      </c>
      <c r="O92" t="s">
        <v>351</v>
      </c>
    </row>
    <row r="93" spans="1:15" x14ac:dyDescent="0.3">
      <c r="A93" t="s">
        <v>352</v>
      </c>
      <c r="B93" s="3">
        <v>260000000</v>
      </c>
      <c r="C93" t="s">
        <v>16</v>
      </c>
      <c r="D93" t="s">
        <v>325</v>
      </c>
      <c r="E93" t="s">
        <v>325</v>
      </c>
      <c r="F93" t="s">
        <v>326</v>
      </c>
      <c r="G93">
        <v>4</v>
      </c>
      <c r="H93">
        <v>4</v>
      </c>
      <c r="I93">
        <v>5</v>
      </c>
      <c r="J93" t="s">
        <v>38</v>
      </c>
      <c r="K93" t="s">
        <v>20</v>
      </c>
      <c r="L93" t="s">
        <v>353</v>
      </c>
      <c r="M93" s="1">
        <v>45982</v>
      </c>
      <c r="N93" s="1">
        <v>46136</v>
      </c>
      <c r="O93" t="s">
        <v>354</v>
      </c>
    </row>
    <row r="94" spans="1:15" x14ac:dyDescent="0.3">
      <c r="A94" t="s">
        <v>355</v>
      </c>
      <c r="B94" s="3">
        <v>285000000</v>
      </c>
      <c r="C94" t="s">
        <v>16</v>
      </c>
      <c r="D94" t="s">
        <v>325</v>
      </c>
      <c r="E94" t="s">
        <v>325</v>
      </c>
      <c r="F94" t="s">
        <v>326</v>
      </c>
      <c r="G94">
        <v>4</v>
      </c>
      <c r="H94">
        <v>4</v>
      </c>
      <c r="I94">
        <v>5</v>
      </c>
      <c r="J94" t="s">
        <v>193</v>
      </c>
      <c r="K94" t="s">
        <v>20</v>
      </c>
      <c r="L94" t="s">
        <v>356</v>
      </c>
      <c r="M94" s="1">
        <v>45997</v>
      </c>
      <c r="N94" s="1">
        <v>46136</v>
      </c>
      <c r="O94" t="s">
        <v>357</v>
      </c>
    </row>
    <row r="95" spans="1:15" x14ac:dyDescent="0.3">
      <c r="A95" t="s">
        <v>358</v>
      </c>
      <c r="B95" s="3">
        <v>130000000</v>
      </c>
      <c r="C95" t="s">
        <v>16</v>
      </c>
      <c r="D95" t="s">
        <v>325</v>
      </c>
      <c r="E95" t="s">
        <v>325</v>
      </c>
      <c r="F95" t="s">
        <v>359</v>
      </c>
      <c r="G95">
        <v>2</v>
      </c>
      <c r="H95">
        <v>2</v>
      </c>
      <c r="I95">
        <v>3</v>
      </c>
      <c r="J95" t="s">
        <v>19</v>
      </c>
      <c r="K95" t="s">
        <v>20</v>
      </c>
      <c r="L95" t="s">
        <v>360</v>
      </c>
      <c r="M95" s="1">
        <v>46127</v>
      </c>
      <c r="N95" s="1">
        <v>46136</v>
      </c>
      <c r="O95" t="s">
        <v>361</v>
      </c>
    </row>
    <row r="96" spans="1:15" x14ac:dyDescent="0.3">
      <c r="A96" t="s">
        <v>362</v>
      </c>
      <c r="B96" s="3">
        <v>250000000</v>
      </c>
      <c r="C96" t="s">
        <v>16</v>
      </c>
      <c r="D96" t="s">
        <v>325</v>
      </c>
      <c r="E96" t="s">
        <v>325</v>
      </c>
      <c r="F96" t="s">
        <v>363</v>
      </c>
      <c r="G96">
        <v>4</v>
      </c>
      <c r="H96">
        <v>4</v>
      </c>
      <c r="I96">
        <v>5</v>
      </c>
      <c r="J96" t="s">
        <v>91</v>
      </c>
      <c r="K96" t="s">
        <v>20</v>
      </c>
      <c r="L96" t="s">
        <v>364</v>
      </c>
      <c r="M96" s="1">
        <v>46128</v>
      </c>
      <c r="N96" s="1">
        <v>46136</v>
      </c>
      <c r="O96" t="s">
        <v>365</v>
      </c>
    </row>
    <row r="97" spans="1:15" x14ac:dyDescent="0.3">
      <c r="A97" t="s">
        <v>366</v>
      </c>
      <c r="B97" s="3">
        <v>210000000</v>
      </c>
      <c r="C97" t="s">
        <v>16</v>
      </c>
      <c r="D97" t="s">
        <v>325</v>
      </c>
      <c r="E97" t="s">
        <v>325</v>
      </c>
      <c r="F97" t="s">
        <v>326</v>
      </c>
      <c r="G97">
        <v>4</v>
      </c>
      <c r="H97">
        <v>4</v>
      </c>
      <c r="I97">
        <v>5</v>
      </c>
      <c r="J97" t="s">
        <v>29</v>
      </c>
      <c r="K97" t="s">
        <v>20</v>
      </c>
      <c r="L97" t="s">
        <v>367</v>
      </c>
      <c r="M97" s="1">
        <v>46103</v>
      </c>
      <c r="N97" s="1">
        <v>46136</v>
      </c>
      <c r="O97" t="s">
        <v>368</v>
      </c>
    </row>
    <row r="98" spans="1:15" x14ac:dyDescent="0.3">
      <c r="A98" t="s">
        <v>369</v>
      </c>
      <c r="B98" s="3">
        <v>60000000</v>
      </c>
      <c r="C98" t="s">
        <v>16</v>
      </c>
      <c r="D98" t="s">
        <v>325</v>
      </c>
      <c r="E98" t="s">
        <v>325</v>
      </c>
      <c r="F98" t="s">
        <v>370</v>
      </c>
      <c r="G98">
        <v>2</v>
      </c>
      <c r="H98">
        <v>3</v>
      </c>
      <c r="J98" t="s">
        <v>19</v>
      </c>
      <c r="K98" t="s">
        <v>20</v>
      </c>
      <c r="L98" t="s">
        <v>371</v>
      </c>
      <c r="M98" s="1">
        <v>46116</v>
      </c>
      <c r="N98" s="1">
        <v>46136</v>
      </c>
      <c r="O98" t="s">
        <v>372</v>
      </c>
    </row>
    <row r="99" spans="1:15" x14ac:dyDescent="0.3">
      <c r="A99" t="s">
        <v>373</v>
      </c>
      <c r="B99" s="3">
        <v>130000000</v>
      </c>
      <c r="C99" t="s">
        <v>16</v>
      </c>
      <c r="D99" t="s">
        <v>325</v>
      </c>
      <c r="E99" t="s">
        <v>325</v>
      </c>
      <c r="F99" t="s">
        <v>326</v>
      </c>
      <c r="G99">
        <v>3</v>
      </c>
      <c r="H99">
        <v>3</v>
      </c>
      <c r="I99">
        <v>4</v>
      </c>
      <c r="J99" t="s">
        <v>19</v>
      </c>
      <c r="K99" t="s">
        <v>20</v>
      </c>
      <c r="L99" t="s">
        <v>374</v>
      </c>
      <c r="M99" s="1">
        <v>46059</v>
      </c>
      <c r="N99" s="1">
        <v>46136</v>
      </c>
      <c r="O99" t="s">
        <v>375</v>
      </c>
    </row>
    <row r="100" spans="1:15" x14ac:dyDescent="0.3">
      <c r="A100" t="s">
        <v>376</v>
      </c>
      <c r="B100" s="3">
        <v>125000000</v>
      </c>
      <c r="C100" t="s">
        <v>16</v>
      </c>
      <c r="D100" t="s">
        <v>325</v>
      </c>
      <c r="E100" t="s">
        <v>325</v>
      </c>
      <c r="F100" t="s">
        <v>377</v>
      </c>
      <c r="G100">
        <v>2</v>
      </c>
      <c r="H100">
        <v>2</v>
      </c>
      <c r="I100">
        <v>3</v>
      </c>
      <c r="J100" t="s">
        <v>19</v>
      </c>
      <c r="K100" t="s">
        <v>20</v>
      </c>
      <c r="L100" t="s">
        <v>378</v>
      </c>
      <c r="M100" s="1">
        <v>46113</v>
      </c>
      <c r="N100" s="1">
        <v>46136</v>
      </c>
      <c r="O100" t="s">
        <v>379</v>
      </c>
    </row>
    <row r="101" spans="1:15" x14ac:dyDescent="0.3">
      <c r="A101" t="s">
        <v>380</v>
      </c>
      <c r="B101" s="3">
        <v>230000000</v>
      </c>
      <c r="C101" t="s">
        <v>16</v>
      </c>
      <c r="D101" t="s">
        <v>325</v>
      </c>
      <c r="E101" t="s">
        <v>325</v>
      </c>
      <c r="F101" t="s">
        <v>381</v>
      </c>
      <c r="G101">
        <v>4</v>
      </c>
      <c r="H101">
        <v>4</v>
      </c>
      <c r="I101">
        <v>5</v>
      </c>
      <c r="J101" t="s">
        <v>29</v>
      </c>
      <c r="K101" t="s">
        <v>20</v>
      </c>
      <c r="L101" t="s">
        <v>382</v>
      </c>
      <c r="M101" s="1">
        <v>46026</v>
      </c>
      <c r="N101" s="1">
        <v>46136</v>
      </c>
      <c r="O101" t="s">
        <v>383</v>
      </c>
    </row>
    <row r="102" spans="1:15" x14ac:dyDescent="0.3">
      <c r="A102" t="s">
        <v>384</v>
      </c>
      <c r="B102" s="3">
        <v>250000000</v>
      </c>
      <c r="C102" t="s">
        <v>16</v>
      </c>
      <c r="D102" t="s">
        <v>325</v>
      </c>
      <c r="E102" t="s">
        <v>325</v>
      </c>
      <c r="F102" t="s">
        <v>385</v>
      </c>
      <c r="G102">
        <v>4</v>
      </c>
      <c r="H102">
        <v>5</v>
      </c>
      <c r="I102">
        <v>6</v>
      </c>
      <c r="J102" t="s">
        <v>29</v>
      </c>
      <c r="K102" t="s">
        <v>20</v>
      </c>
      <c r="L102" t="s">
        <v>386</v>
      </c>
      <c r="M102" s="1">
        <v>46081</v>
      </c>
      <c r="N102" s="1">
        <v>46136</v>
      </c>
      <c r="O102" t="s">
        <v>387</v>
      </c>
    </row>
    <row r="103" spans="1:15" x14ac:dyDescent="0.3">
      <c r="A103" t="s">
        <v>388</v>
      </c>
      <c r="B103" s="3">
        <v>400000000</v>
      </c>
      <c r="C103" t="s">
        <v>16</v>
      </c>
      <c r="D103" t="s">
        <v>389</v>
      </c>
      <c r="E103" t="s">
        <v>389</v>
      </c>
      <c r="F103" t="s">
        <v>390</v>
      </c>
      <c r="G103">
        <v>4</v>
      </c>
      <c r="H103">
        <v>4</v>
      </c>
      <c r="I103">
        <v>5</v>
      </c>
      <c r="J103" t="s">
        <v>91</v>
      </c>
      <c r="K103" t="s">
        <v>20</v>
      </c>
      <c r="L103" t="s">
        <v>391</v>
      </c>
      <c r="M103" s="1">
        <v>46128</v>
      </c>
      <c r="N103" s="1">
        <v>46136</v>
      </c>
      <c r="O103" t="s">
        <v>392</v>
      </c>
    </row>
    <row r="104" spans="1:15" x14ac:dyDescent="0.3">
      <c r="A104" t="s">
        <v>393</v>
      </c>
      <c r="B104" s="3">
        <v>65000000</v>
      </c>
      <c r="C104" t="s">
        <v>16</v>
      </c>
      <c r="D104" t="s">
        <v>389</v>
      </c>
      <c r="E104" t="s">
        <v>389</v>
      </c>
      <c r="F104" t="s">
        <v>394</v>
      </c>
      <c r="G104">
        <v>1</v>
      </c>
      <c r="H104">
        <v>1</v>
      </c>
      <c r="I104">
        <v>2</v>
      </c>
      <c r="J104" t="s">
        <v>19</v>
      </c>
      <c r="K104" t="s">
        <v>20</v>
      </c>
      <c r="L104" t="s">
        <v>395</v>
      </c>
      <c r="M104" s="1">
        <v>46043</v>
      </c>
      <c r="N104" s="1">
        <v>46136</v>
      </c>
      <c r="O104" t="s">
        <v>396</v>
      </c>
    </row>
    <row r="105" spans="1:15" x14ac:dyDescent="0.3">
      <c r="A105" t="s">
        <v>397</v>
      </c>
      <c r="B105" s="3">
        <v>580000000</v>
      </c>
      <c r="C105" t="s">
        <v>16</v>
      </c>
      <c r="D105" t="s">
        <v>389</v>
      </c>
      <c r="E105" t="s">
        <v>389</v>
      </c>
      <c r="F105" t="s">
        <v>398</v>
      </c>
      <c r="G105">
        <v>5</v>
      </c>
      <c r="H105">
        <v>5</v>
      </c>
      <c r="I105">
        <v>6</v>
      </c>
      <c r="J105" t="s">
        <v>91</v>
      </c>
      <c r="K105" t="s">
        <v>20</v>
      </c>
      <c r="L105" t="s">
        <v>399</v>
      </c>
      <c r="M105" s="1">
        <v>46130</v>
      </c>
      <c r="N105" s="1">
        <v>46136</v>
      </c>
      <c r="O105" t="s">
        <v>400</v>
      </c>
    </row>
    <row r="106" spans="1:15" x14ac:dyDescent="0.3">
      <c r="A106" t="s">
        <v>183</v>
      </c>
      <c r="B106" s="3">
        <v>245000000</v>
      </c>
      <c r="C106" t="s">
        <v>16</v>
      </c>
      <c r="D106" t="s">
        <v>389</v>
      </c>
      <c r="E106" t="s">
        <v>389</v>
      </c>
      <c r="F106" t="s">
        <v>401</v>
      </c>
      <c r="G106">
        <v>4</v>
      </c>
      <c r="H106">
        <v>4</v>
      </c>
      <c r="I106">
        <v>5</v>
      </c>
      <c r="J106" t="s">
        <v>29</v>
      </c>
      <c r="K106" t="s">
        <v>20</v>
      </c>
      <c r="L106" t="s">
        <v>402</v>
      </c>
      <c r="M106" s="1">
        <v>45945</v>
      </c>
      <c r="N106" s="1">
        <v>46136</v>
      </c>
      <c r="O106" t="s">
        <v>403</v>
      </c>
    </row>
    <row r="107" spans="1:15" x14ac:dyDescent="0.3">
      <c r="A107" t="s">
        <v>404</v>
      </c>
      <c r="B107" s="3">
        <v>145000000</v>
      </c>
      <c r="C107" t="s">
        <v>16</v>
      </c>
      <c r="D107" t="s">
        <v>389</v>
      </c>
      <c r="E107" t="s">
        <v>389</v>
      </c>
      <c r="F107" t="s">
        <v>405</v>
      </c>
      <c r="G107">
        <v>4</v>
      </c>
      <c r="H107">
        <v>4</v>
      </c>
      <c r="I107">
        <v>5</v>
      </c>
      <c r="J107" t="s">
        <v>193</v>
      </c>
      <c r="K107" t="s">
        <v>20</v>
      </c>
      <c r="L107" t="s">
        <v>406</v>
      </c>
      <c r="M107" s="1">
        <v>46024</v>
      </c>
      <c r="N107" s="1">
        <v>46136</v>
      </c>
      <c r="O107" t="s">
        <v>407</v>
      </c>
    </row>
    <row r="108" spans="1:15" x14ac:dyDescent="0.3">
      <c r="A108" t="s">
        <v>408</v>
      </c>
      <c r="B108" s="3">
        <v>115000000</v>
      </c>
      <c r="C108" t="s">
        <v>16</v>
      </c>
      <c r="D108" t="s">
        <v>389</v>
      </c>
      <c r="E108" t="s">
        <v>389</v>
      </c>
      <c r="F108" t="s">
        <v>409</v>
      </c>
      <c r="G108">
        <v>3</v>
      </c>
      <c r="H108">
        <v>3</v>
      </c>
      <c r="J108" t="s">
        <v>193</v>
      </c>
      <c r="K108" t="s">
        <v>20</v>
      </c>
      <c r="L108" t="s">
        <v>410</v>
      </c>
      <c r="M108" s="1">
        <v>46108</v>
      </c>
      <c r="N108" s="1">
        <v>46136</v>
      </c>
      <c r="O108" t="s">
        <v>411</v>
      </c>
    </row>
    <row r="109" spans="1:15" x14ac:dyDescent="0.3">
      <c r="A109" t="s">
        <v>116</v>
      </c>
      <c r="B109" s="3">
        <v>250000000</v>
      </c>
      <c r="C109" t="s">
        <v>16</v>
      </c>
      <c r="D109" t="s">
        <v>389</v>
      </c>
      <c r="E109" t="s">
        <v>389</v>
      </c>
      <c r="F109" t="s">
        <v>412</v>
      </c>
      <c r="G109">
        <v>4</v>
      </c>
      <c r="H109">
        <v>4</v>
      </c>
      <c r="J109" t="s">
        <v>70</v>
      </c>
      <c r="K109" t="s">
        <v>20</v>
      </c>
      <c r="L109" t="s">
        <v>413</v>
      </c>
      <c r="M109" s="1">
        <v>46108</v>
      </c>
      <c r="N109" s="1">
        <v>46136</v>
      </c>
      <c r="O109" t="s">
        <v>414</v>
      </c>
    </row>
    <row r="110" spans="1:15" x14ac:dyDescent="0.3">
      <c r="A110" t="s">
        <v>77</v>
      </c>
      <c r="B110" s="3">
        <v>300000000</v>
      </c>
      <c r="C110" t="s">
        <v>16</v>
      </c>
      <c r="D110" t="s">
        <v>389</v>
      </c>
      <c r="E110" t="s">
        <v>389</v>
      </c>
      <c r="F110" t="s">
        <v>412</v>
      </c>
      <c r="G110">
        <v>4</v>
      </c>
      <c r="H110">
        <v>4</v>
      </c>
      <c r="J110" t="s">
        <v>29</v>
      </c>
      <c r="K110" t="s">
        <v>20</v>
      </c>
      <c r="L110" t="s">
        <v>415</v>
      </c>
      <c r="M110" s="1">
        <v>46111</v>
      </c>
      <c r="N110" s="1">
        <v>46136</v>
      </c>
      <c r="O110" t="s">
        <v>416</v>
      </c>
    </row>
    <row r="111" spans="1:15" x14ac:dyDescent="0.3">
      <c r="A111" t="s">
        <v>417</v>
      </c>
      <c r="B111" s="3">
        <v>220000000</v>
      </c>
      <c r="C111" t="s">
        <v>16</v>
      </c>
      <c r="D111" t="s">
        <v>389</v>
      </c>
      <c r="E111" t="s">
        <v>389</v>
      </c>
      <c r="F111" t="s">
        <v>418</v>
      </c>
      <c r="G111">
        <v>5</v>
      </c>
      <c r="H111">
        <v>5</v>
      </c>
      <c r="I111">
        <v>6</v>
      </c>
      <c r="J111" t="s">
        <v>91</v>
      </c>
      <c r="K111" t="s">
        <v>20</v>
      </c>
      <c r="L111" t="s">
        <v>419</v>
      </c>
      <c r="M111" s="1">
        <v>46134</v>
      </c>
      <c r="N111" s="1">
        <v>46136</v>
      </c>
      <c r="O111" t="s">
        <v>420</v>
      </c>
    </row>
    <row r="112" spans="1:15" x14ac:dyDescent="0.3">
      <c r="A112" t="s">
        <v>421</v>
      </c>
      <c r="B112" s="3">
        <v>170000000</v>
      </c>
      <c r="C112" t="s">
        <v>16</v>
      </c>
      <c r="D112" t="s">
        <v>389</v>
      </c>
      <c r="E112" t="s">
        <v>389</v>
      </c>
      <c r="F112" t="s">
        <v>422</v>
      </c>
      <c r="G112">
        <v>3</v>
      </c>
      <c r="H112">
        <v>3</v>
      </c>
      <c r="I112">
        <v>4</v>
      </c>
      <c r="J112" t="s">
        <v>193</v>
      </c>
      <c r="K112" t="s">
        <v>20</v>
      </c>
      <c r="L112" t="s">
        <v>423</v>
      </c>
      <c r="M112" s="1">
        <v>45902</v>
      </c>
      <c r="N112" s="1">
        <v>46136</v>
      </c>
      <c r="O112" t="s">
        <v>424</v>
      </c>
    </row>
    <row r="113" spans="1:15" x14ac:dyDescent="0.3">
      <c r="A113" t="s">
        <v>373</v>
      </c>
      <c r="B113" s="3">
        <v>170000000</v>
      </c>
      <c r="C113" t="s">
        <v>16</v>
      </c>
      <c r="D113" t="s">
        <v>389</v>
      </c>
      <c r="E113" t="s">
        <v>389</v>
      </c>
      <c r="F113" t="s">
        <v>425</v>
      </c>
      <c r="G113">
        <v>3</v>
      </c>
      <c r="H113">
        <v>3</v>
      </c>
      <c r="I113">
        <v>4</v>
      </c>
      <c r="J113" t="s">
        <v>19</v>
      </c>
      <c r="K113" t="s">
        <v>20</v>
      </c>
      <c r="L113" t="s">
        <v>426</v>
      </c>
      <c r="M113" s="1">
        <v>45924</v>
      </c>
      <c r="N113" s="1">
        <v>46136</v>
      </c>
      <c r="O113" t="s">
        <v>427</v>
      </c>
    </row>
    <row r="114" spans="1:15" x14ac:dyDescent="0.3">
      <c r="A114" t="s">
        <v>428</v>
      </c>
      <c r="B114" s="3">
        <v>160000000</v>
      </c>
      <c r="C114" t="s">
        <v>16</v>
      </c>
      <c r="D114" t="s">
        <v>389</v>
      </c>
      <c r="E114" t="s">
        <v>389</v>
      </c>
      <c r="F114" t="s">
        <v>429</v>
      </c>
      <c r="G114">
        <v>3</v>
      </c>
      <c r="H114">
        <v>3</v>
      </c>
      <c r="I114">
        <v>4</v>
      </c>
      <c r="J114" t="s">
        <v>70</v>
      </c>
      <c r="K114" t="s">
        <v>20</v>
      </c>
      <c r="L114" t="s">
        <v>430</v>
      </c>
      <c r="M114" s="1">
        <v>45917</v>
      </c>
      <c r="N114" s="1">
        <v>46136</v>
      </c>
      <c r="O114" t="s">
        <v>431</v>
      </c>
    </row>
    <row r="115" spans="1:15" x14ac:dyDescent="0.3">
      <c r="A115" t="s">
        <v>432</v>
      </c>
      <c r="B115" s="3">
        <v>490000000</v>
      </c>
      <c r="C115" t="s">
        <v>16</v>
      </c>
      <c r="D115" t="s">
        <v>389</v>
      </c>
      <c r="E115" t="s">
        <v>389</v>
      </c>
      <c r="F115" t="s">
        <v>398</v>
      </c>
      <c r="G115">
        <v>5</v>
      </c>
      <c r="H115">
        <v>5</v>
      </c>
      <c r="I115">
        <v>6</v>
      </c>
      <c r="J115" t="s">
        <v>38</v>
      </c>
      <c r="K115" t="s">
        <v>20</v>
      </c>
      <c r="L115" t="s">
        <v>433</v>
      </c>
      <c r="M115" s="1">
        <v>45828</v>
      </c>
      <c r="N115" s="1">
        <v>46136</v>
      </c>
      <c r="O115" t="s">
        <v>434</v>
      </c>
    </row>
    <row r="116" spans="1:15" x14ac:dyDescent="0.3">
      <c r="A116" t="s">
        <v>15</v>
      </c>
      <c r="B116" s="3">
        <v>80000000</v>
      </c>
      <c r="C116" t="s">
        <v>16</v>
      </c>
      <c r="D116" t="s">
        <v>389</v>
      </c>
      <c r="E116" t="s">
        <v>389</v>
      </c>
      <c r="F116" t="s">
        <v>435</v>
      </c>
      <c r="G116">
        <v>3</v>
      </c>
      <c r="H116">
        <v>3</v>
      </c>
      <c r="I116">
        <v>4</v>
      </c>
      <c r="J116" t="s">
        <v>19</v>
      </c>
      <c r="K116" t="s">
        <v>20</v>
      </c>
      <c r="L116" t="s">
        <v>436</v>
      </c>
      <c r="M116" s="1">
        <v>45888</v>
      </c>
      <c r="N116" s="1">
        <v>46136</v>
      </c>
      <c r="O116" t="s">
        <v>437</v>
      </c>
    </row>
    <row r="117" spans="1:15" x14ac:dyDescent="0.3">
      <c r="A117" t="s">
        <v>438</v>
      </c>
      <c r="B117" s="3">
        <v>300000000</v>
      </c>
      <c r="C117" t="s">
        <v>16</v>
      </c>
      <c r="D117" t="s">
        <v>389</v>
      </c>
      <c r="E117" t="s">
        <v>389</v>
      </c>
      <c r="F117" t="s">
        <v>439</v>
      </c>
      <c r="G117">
        <v>4</v>
      </c>
      <c r="H117">
        <v>4</v>
      </c>
      <c r="I117">
        <v>5</v>
      </c>
      <c r="J117" t="s">
        <v>38</v>
      </c>
      <c r="K117" t="s">
        <v>20</v>
      </c>
      <c r="L117" t="s">
        <v>440</v>
      </c>
      <c r="M117" s="1">
        <v>46038</v>
      </c>
      <c r="N117" s="1">
        <v>46136</v>
      </c>
      <c r="O117" t="s">
        <v>441</v>
      </c>
    </row>
    <row r="118" spans="1:15" x14ac:dyDescent="0.3">
      <c r="A118" t="s">
        <v>254</v>
      </c>
      <c r="B118" s="3">
        <v>300000000</v>
      </c>
      <c r="C118" t="s">
        <v>16</v>
      </c>
      <c r="D118" t="s">
        <v>389</v>
      </c>
      <c r="E118" t="s">
        <v>389</v>
      </c>
      <c r="F118" t="s">
        <v>412</v>
      </c>
      <c r="G118">
        <v>4</v>
      </c>
      <c r="H118">
        <v>4</v>
      </c>
      <c r="I118">
        <v>4</v>
      </c>
      <c r="J118" t="s">
        <v>29</v>
      </c>
      <c r="K118" t="s">
        <v>20</v>
      </c>
      <c r="L118" t="s">
        <v>442</v>
      </c>
      <c r="M118" s="1">
        <v>46084</v>
      </c>
      <c r="N118" s="1">
        <v>46136</v>
      </c>
      <c r="O118" t="s">
        <v>443</v>
      </c>
    </row>
    <row r="119" spans="1:15" x14ac:dyDescent="0.3">
      <c r="A119" t="s">
        <v>444</v>
      </c>
      <c r="B119" s="3">
        <v>300000000</v>
      </c>
      <c r="C119" t="s">
        <v>16</v>
      </c>
      <c r="D119" t="s">
        <v>445</v>
      </c>
      <c r="E119" t="s">
        <v>445</v>
      </c>
      <c r="F119" t="s">
        <v>446</v>
      </c>
      <c r="G119">
        <v>4</v>
      </c>
      <c r="H119">
        <v>4</v>
      </c>
      <c r="I119">
        <v>5</v>
      </c>
      <c r="J119" t="s">
        <v>38</v>
      </c>
      <c r="K119" t="s">
        <v>20</v>
      </c>
      <c r="L119" t="s">
        <v>447</v>
      </c>
      <c r="M119" s="1">
        <v>46135</v>
      </c>
      <c r="N119" s="1">
        <v>46138</v>
      </c>
      <c r="O119" t="s">
        <v>448</v>
      </c>
    </row>
    <row r="120" spans="1:15" x14ac:dyDescent="0.3">
      <c r="A120" t="s">
        <v>449</v>
      </c>
      <c r="B120" s="3">
        <v>175000000</v>
      </c>
      <c r="C120" t="s">
        <v>16</v>
      </c>
      <c r="D120" t="s">
        <v>445</v>
      </c>
      <c r="E120" t="s">
        <v>445</v>
      </c>
      <c r="F120" t="s">
        <v>450</v>
      </c>
      <c r="G120">
        <v>3</v>
      </c>
      <c r="H120">
        <v>3</v>
      </c>
      <c r="I120">
        <v>4</v>
      </c>
      <c r="J120" t="s">
        <v>193</v>
      </c>
      <c r="K120" t="s">
        <v>20</v>
      </c>
      <c r="L120" t="s">
        <v>451</v>
      </c>
      <c r="M120" s="1">
        <v>46082</v>
      </c>
      <c r="N120" s="1">
        <v>46136</v>
      </c>
      <c r="O120" t="s">
        <v>452</v>
      </c>
    </row>
    <row r="121" spans="1:15" x14ac:dyDescent="0.3">
      <c r="A121" t="s">
        <v>453</v>
      </c>
      <c r="B121" s="3">
        <v>370000000</v>
      </c>
      <c r="C121" t="s">
        <v>16</v>
      </c>
      <c r="D121" t="s">
        <v>445</v>
      </c>
      <c r="E121" t="s">
        <v>445</v>
      </c>
      <c r="F121" t="s">
        <v>454</v>
      </c>
      <c r="G121">
        <v>6</v>
      </c>
      <c r="H121">
        <v>6</v>
      </c>
      <c r="I121">
        <v>7</v>
      </c>
      <c r="J121" t="s">
        <v>38</v>
      </c>
      <c r="K121" t="s">
        <v>20</v>
      </c>
      <c r="L121" t="s">
        <v>455</v>
      </c>
      <c r="M121" s="1">
        <v>46131</v>
      </c>
      <c r="N121" s="1">
        <v>46136</v>
      </c>
      <c r="O121" t="s">
        <v>456</v>
      </c>
    </row>
    <row r="122" spans="1:15" x14ac:dyDescent="0.3">
      <c r="A122" t="s">
        <v>138</v>
      </c>
      <c r="B122" s="3">
        <v>670000000</v>
      </c>
      <c r="C122" t="s">
        <v>16</v>
      </c>
      <c r="D122" t="s">
        <v>445</v>
      </c>
      <c r="E122" t="s">
        <v>445</v>
      </c>
      <c r="F122" t="s">
        <v>457</v>
      </c>
      <c r="G122">
        <v>5</v>
      </c>
      <c r="H122">
        <v>5</v>
      </c>
      <c r="I122">
        <v>5</v>
      </c>
      <c r="J122" t="s">
        <v>19</v>
      </c>
      <c r="K122" t="s">
        <v>20</v>
      </c>
      <c r="L122" t="s">
        <v>458</v>
      </c>
      <c r="M122" s="1">
        <v>45990</v>
      </c>
      <c r="N122" s="1">
        <v>46136</v>
      </c>
      <c r="O122" t="s">
        <v>459</v>
      </c>
    </row>
    <row r="123" spans="1:15" x14ac:dyDescent="0.3">
      <c r="A123" t="s">
        <v>460</v>
      </c>
      <c r="B123" s="3">
        <v>330000000</v>
      </c>
      <c r="C123" t="s">
        <v>16</v>
      </c>
      <c r="D123" t="s">
        <v>445</v>
      </c>
      <c r="E123" t="s">
        <v>445</v>
      </c>
      <c r="F123" t="s">
        <v>461</v>
      </c>
      <c r="G123">
        <v>5</v>
      </c>
      <c r="H123">
        <v>5</v>
      </c>
      <c r="I123">
        <v>6</v>
      </c>
      <c r="J123" t="s">
        <v>38</v>
      </c>
      <c r="K123" t="s">
        <v>20</v>
      </c>
      <c r="L123" t="s">
        <v>462</v>
      </c>
      <c r="M123" s="1">
        <v>46078</v>
      </c>
      <c r="N123" s="1">
        <v>46136</v>
      </c>
      <c r="O123" t="s">
        <v>463</v>
      </c>
    </row>
    <row r="124" spans="1:15" x14ac:dyDescent="0.3">
      <c r="A124" t="s">
        <v>193</v>
      </c>
      <c r="B124" s="3">
        <v>260000000</v>
      </c>
      <c r="C124" t="s">
        <v>16</v>
      </c>
      <c r="D124" t="s">
        <v>445</v>
      </c>
      <c r="E124" t="s">
        <v>445</v>
      </c>
      <c r="F124" t="s">
        <v>464</v>
      </c>
      <c r="G124">
        <v>3</v>
      </c>
      <c r="H124">
        <v>3</v>
      </c>
      <c r="I124">
        <v>4</v>
      </c>
      <c r="J124" t="s">
        <v>193</v>
      </c>
      <c r="K124" t="s">
        <v>20</v>
      </c>
      <c r="L124" t="s">
        <v>465</v>
      </c>
      <c r="M124" s="1">
        <v>46083</v>
      </c>
      <c r="N124" s="1">
        <v>46136</v>
      </c>
      <c r="O124" t="s">
        <v>466</v>
      </c>
    </row>
    <row r="125" spans="1:15" x14ac:dyDescent="0.3">
      <c r="A125" t="s">
        <v>467</v>
      </c>
      <c r="B125" s="3">
        <v>550000000</v>
      </c>
      <c r="C125" t="s">
        <v>16</v>
      </c>
      <c r="D125" t="s">
        <v>445</v>
      </c>
      <c r="E125" t="s">
        <v>445</v>
      </c>
      <c r="F125" t="s">
        <v>461</v>
      </c>
      <c r="G125">
        <v>5</v>
      </c>
      <c r="H125">
        <v>5</v>
      </c>
      <c r="I125">
        <v>6</v>
      </c>
      <c r="J125" t="s">
        <v>38</v>
      </c>
      <c r="K125" t="s">
        <v>20</v>
      </c>
      <c r="L125" t="s">
        <v>468</v>
      </c>
      <c r="M125" s="1">
        <v>46061</v>
      </c>
      <c r="N125" s="1">
        <v>46136</v>
      </c>
      <c r="O125" t="s">
        <v>469</v>
      </c>
    </row>
    <row r="126" spans="1:15" x14ac:dyDescent="0.3">
      <c r="A126" t="s">
        <v>470</v>
      </c>
      <c r="B126" s="3">
        <v>165000000</v>
      </c>
      <c r="C126" t="s">
        <v>16</v>
      </c>
      <c r="D126" t="s">
        <v>445</v>
      </c>
      <c r="E126" t="s">
        <v>445</v>
      </c>
      <c r="F126" t="s">
        <v>471</v>
      </c>
      <c r="G126">
        <v>3</v>
      </c>
      <c r="H126">
        <v>3</v>
      </c>
      <c r="I126">
        <v>4</v>
      </c>
      <c r="J126" t="s">
        <v>193</v>
      </c>
      <c r="K126" t="s">
        <v>20</v>
      </c>
      <c r="L126" t="s">
        <v>472</v>
      </c>
      <c r="M126" s="1">
        <v>45955</v>
      </c>
      <c r="N126" s="1">
        <v>46136</v>
      </c>
      <c r="O126" t="s">
        <v>473</v>
      </c>
    </row>
    <row r="127" spans="1:15" x14ac:dyDescent="0.3">
      <c r="A127" t="s">
        <v>340</v>
      </c>
      <c r="B127" s="3">
        <v>330000000</v>
      </c>
      <c r="C127" t="s">
        <v>16</v>
      </c>
      <c r="D127" t="s">
        <v>445</v>
      </c>
      <c r="E127" t="s">
        <v>445</v>
      </c>
      <c r="F127" t="s">
        <v>474</v>
      </c>
      <c r="G127">
        <v>5</v>
      </c>
      <c r="H127">
        <v>5</v>
      </c>
      <c r="I127">
        <v>6</v>
      </c>
      <c r="J127" t="s">
        <v>38</v>
      </c>
      <c r="K127" t="s">
        <v>20</v>
      </c>
      <c r="L127" t="s">
        <v>475</v>
      </c>
      <c r="M127" s="1">
        <v>46059</v>
      </c>
      <c r="N127" s="1">
        <v>46136</v>
      </c>
      <c r="O127" t="s">
        <v>476</v>
      </c>
    </row>
    <row r="128" spans="1:15" x14ac:dyDescent="0.3">
      <c r="A128" t="s">
        <v>380</v>
      </c>
      <c r="B128" s="3">
        <v>120000000</v>
      </c>
      <c r="C128" t="s">
        <v>16</v>
      </c>
      <c r="D128" t="s">
        <v>445</v>
      </c>
      <c r="E128" t="s">
        <v>445</v>
      </c>
      <c r="F128" t="s">
        <v>446</v>
      </c>
      <c r="G128">
        <v>4</v>
      </c>
      <c r="H128">
        <v>4</v>
      </c>
      <c r="I128">
        <v>5</v>
      </c>
      <c r="J128" t="s">
        <v>29</v>
      </c>
      <c r="K128" t="s">
        <v>20</v>
      </c>
      <c r="L128" t="s">
        <v>477</v>
      </c>
      <c r="M128" s="1">
        <v>46085</v>
      </c>
      <c r="N128" s="1">
        <v>46136</v>
      </c>
      <c r="O128" t="s">
        <v>478</v>
      </c>
    </row>
    <row r="129" spans="1:15" x14ac:dyDescent="0.3">
      <c r="A129" t="s">
        <v>479</v>
      </c>
      <c r="B129" s="3">
        <v>220000000</v>
      </c>
      <c r="C129" t="s">
        <v>16</v>
      </c>
      <c r="D129" t="s">
        <v>445</v>
      </c>
      <c r="E129" t="s">
        <v>445</v>
      </c>
      <c r="F129" t="s">
        <v>446</v>
      </c>
      <c r="G129">
        <v>5</v>
      </c>
      <c r="H129">
        <v>6</v>
      </c>
      <c r="I129">
        <v>6</v>
      </c>
      <c r="J129" t="s">
        <v>38</v>
      </c>
      <c r="K129" t="s">
        <v>20</v>
      </c>
      <c r="L129" t="s">
        <v>480</v>
      </c>
      <c r="M129" s="1">
        <v>46085</v>
      </c>
      <c r="N129" s="1">
        <v>46136</v>
      </c>
      <c r="O129" t="s">
        <v>481</v>
      </c>
    </row>
    <row r="130" spans="1:15" x14ac:dyDescent="0.3">
      <c r="A130" t="s">
        <v>482</v>
      </c>
      <c r="B130" s="3">
        <v>110000000</v>
      </c>
      <c r="C130" t="s">
        <v>16</v>
      </c>
      <c r="D130" t="s">
        <v>445</v>
      </c>
      <c r="E130" t="s">
        <v>445</v>
      </c>
      <c r="F130" t="s">
        <v>446</v>
      </c>
      <c r="G130">
        <v>3</v>
      </c>
      <c r="H130">
        <v>3</v>
      </c>
      <c r="I130">
        <v>4</v>
      </c>
      <c r="J130" t="s">
        <v>38</v>
      </c>
      <c r="K130" t="s">
        <v>20</v>
      </c>
      <c r="L130" t="s">
        <v>483</v>
      </c>
      <c r="M130" s="1">
        <v>45930</v>
      </c>
      <c r="N130" s="1">
        <v>46136</v>
      </c>
      <c r="O130" t="s">
        <v>484</v>
      </c>
    </row>
    <row r="131" spans="1:15" x14ac:dyDescent="0.3">
      <c r="A131" t="s">
        <v>107</v>
      </c>
      <c r="B131" s="3">
        <v>450000000</v>
      </c>
      <c r="C131" t="s">
        <v>16</v>
      </c>
      <c r="D131" t="s">
        <v>445</v>
      </c>
      <c r="E131" t="s">
        <v>445</v>
      </c>
      <c r="F131" t="s">
        <v>446</v>
      </c>
      <c r="G131">
        <v>5</v>
      </c>
      <c r="H131">
        <v>5</v>
      </c>
      <c r="I131">
        <v>6</v>
      </c>
      <c r="J131" t="s">
        <v>38</v>
      </c>
      <c r="K131" t="s">
        <v>20</v>
      </c>
      <c r="L131" t="s">
        <v>485</v>
      </c>
      <c r="M131" s="1">
        <v>45914</v>
      </c>
      <c r="N131" s="1">
        <v>46136</v>
      </c>
      <c r="O131" t="s">
        <v>486</v>
      </c>
    </row>
    <row r="132" spans="1:15" x14ac:dyDescent="0.3">
      <c r="A132" t="s">
        <v>417</v>
      </c>
      <c r="B132" s="3">
        <v>170000000</v>
      </c>
      <c r="C132" t="s">
        <v>16</v>
      </c>
      <c r="D132" t="s">
        <v>445</v>
      </c>
      <c r="E132" t="s">
        <v>445</v>
      </c>
      <c r="F132" t="s">
        <v>487</v>
      </c>
      <c r="G132">
        <v>5</v>
      </c>
      <c r="H132">
        <v>5</v>
      </c>
      <c r="I132">
        <v>6</v>
      </c>
      <c r="J132" t="s">
        <v>91</v>
      </c>
      <c r="K132" t="s">
        <v>20</v>
      </c>
      <c r="L132" t="s">
        <v>488</v>
      </c>
      <c r="M132" s="1">
        <v>46132</v>
      </c>
      <c r="N132" s="1">
        <v>46136</v>
      </c>
      <c r="O132" t="s">
        <v>489</v>
      </c>
    </row>
    <row r="133" spans="1:15" x14ac:dyDescent="0.3">
      <c r="A133" t="s">
        <v>227</v>
      </c>
      <c r="B133" s="3">
        <v>50000000</v>
      </c>
      <c r="C133" t="s">
        <v>16</v>
      </c>
      <c r="D133" t="s">
        <v>445</v>
      </c>
      <c r="E133" t="s">
        <v>445</v>
      </c>
      <c r="F133" t="s">
        <v>490</v>
      </c>
      <c r="G133">
        <v>2</v>
      </c>
      <c r="H133">
        <v>2</v>
      </c>
      <c r="I133">
        <v>3</v>
      </c>
      <c r="J133" t="s">
        <v>19</v>
      </c>
      <c r="K133" t="s">
        <v>20</v>
      </c>
      <c r="L133" t="s">
        <v>491</v>
      </c>
      <c r="M133" s="1">
        <v>45842</v>
      </c>
      <c r="N133" s="1">
        <v>46136</v>
      </c>
      <c r="O133" t="s">
        <v>492</v>
      </c>
    </row>
    <row r="134" spans="1:15" x14ac:dyDescent="0.3">
      <c r="A134" t="s">
        <v>493</v>
      </c>
      <c r="B134" s="3">
        <v>650000000</v>
      </c>
      <c r="C134" t="s">
        <v>16</v>
      </c>
      <c r="D134" t="s">
        <v>445</v>
      </c>
      <c r="E134" t="s">
        <v>445</v>
      </c>
      <c r="F134" t="s">
        <v>494</v>
      </c>
      <c r="G134">
        <v>7</v>
      </c>
      <c r="H134">
        <v>6</v>
      </c>
      <c r="I134">
        <v>6</v>
      </c>
      <c r="J134" t="s">
        <v>19</v>
      </c>
      <c r="K134" t="s">
        <v>20</v>
      </c>
      <c r="L134" t="s">
        <v>495</v>
      </c>
      <c r="M134" s="1">
        <v>45897</v>
      </c>
      <c r="N134" s="1">
        <v>46136</v>
      </c>
      <c r="O134" t="s">
        <v>496</v>
      </c>
    </row>
    <row r="135" spans="1:15" x14ac:dyDescent="0.3">
      <c r="A135" t="s">
        <v>497</v>
      </c>
      <c r="B135" s="3">
        <v>200000000</v>
      </c>
      <c r="C135" t="s">
        <v>16</v>
      </c>
      <c r="D135" t="s">
        <v>445</v>
      </c>
      <c r="E135" t="s">
        <v>445</v>
      </c>
      <c r="F135" t="s">
        <v>446</v>
      </c>
      <c r="G135">
        <v>4</v>
      </c>
      <c r="H135">
        <v>4</v>
      </c>
      <c r="J135" t="s">
        <v>70</v>
      </c>
      <c r="K135" t="s">
        <v>20</v>
      </c>
      <c r="L135" t="s">
        <v>498</v>
      </c>
      <c r="M135" s="1">
        <v>46090</v>
      </c>
      <c r="N135" s="1">
        <v>46136</v>
      </c>
      <c r="O135" t="s">
        <v>499</v>
      </c>
    </row>
    <row r="136" spans="1:15" x14ac:dyDescent="0.3">
      <c r="A136" t="s">
        <v>500</v>
      </c>
      <c r="B136" s="3">
        <v>170000000</v>
      </c>
      <c r="C136" t="s">
        <v>16</v>
      </c>
      <c r="D136" t="s">
        <v>501</v>
      </c>
      <c r="E136" t="s">
        <v>501</v>
      </c>
      <c r="F136" t="s">
        <v>502</v>
      </c>
      <c r="G136">
        <v>3</v>
      </c>
      <c r="H136">
        <v>3</v>
      </c>
      <c r="I136">
        <v>4</v>
      </c>
      <c r="J136" t="s">
        <v>91</v>
      </c>
      <c r="K136" t="s">
        <v>20</v>
      </c>
      <c r="L136" t="s">
        <v>503</v>
      </c>
      <c r="M136" s="1">
        <v>46126</v>
      </c>
      <c r="N136" s="1">
        <v>46136</v>
      </c>
      <c r="O136" t="s">
        <v>504</v>
      </c>
    </row>
    <row r="137" spans="1:15" x14ac:dyDescent="0.3">
      <c r="A137" t="s">
        <v>223</v>
      </c>
      <c r="B137" s="3">
        <v>120000000</v>
      </c>
      <c r="C137" t="s">
        <v>16</v>
      </c>
      <c r="D137" t="s">
        <v>501</v>
      </c>
      <c r="E137" t="s">
        <v>501</v>
      </c>
      <c r="F137" t="s">
        <v>505</v>
      </c>
      <c r="G137">
        <v>3</v>
      </c>
      <c r="H137">
        <v>3</v>
      </c>
      <c r="I137">
        <v>4</v>
      </c>
      <c r="J137" t="s">
        <v>91</v>
      </c>
      <c r="K137" t="s">
        <v>20</v>
      </c>
      <c r="L137" t="s">
        <v>506</v>
      </c>
      <c r="M137" s="1">
        <v>46118</v>
      </c>
      <c r="N137" s="1">
        <v>46136</v>
      </c>
      <c r="O137" t="s">
        <v>507</v>
      </c>
    </row>
    <row r="138" spans="1:15" x14ac:dyDescent="0.3">
      <c r="A138" t="s">
        <v>508</v>
      </c>
      <c r="B138" s="3">
        <v>400000000</v>
      </c>
      <c r="C138" t="s">
        <v>16</v>
      </c>
      <c r="D138" t="s">
        <v>501</v>
      </c>
      <c r="E138" t="s">
        <v>501</v>
      </c>
      <c r="F138" t="s">
        <v>502</v>
      </c>
      <c r="G138">
        <v>4</v>
      </c>
      <c r="H138">
        <v>4</v>
      </c>
      <c r="I138">
        <v>5</v>
      </c>
      <c r="J138" t="s">
        <v>38</v>
      </c>
      <c r="K138" t="s">
        <v>20</v>
      </c>
      <c r="L138" t="s">
        <v>509</v>
      </c>
      <c r="M138" s="1">
        <v>46085</v>
      </c>
      <c r="N138" s="1">
        <v>46136</v>
      </c>
      <c r="O138" t="s">
        <v>510</v>
      </c>
    </row>
    <row r="139" spans="1:15" x14ac:dyDescent="0.3">
      <c r="A139" t="s">
        <v>321</v>
      </c>
      <c r="B139" s="3">
        <v>110000000</v>
      </c>
      <c r="C139" t="s">
        <v>16</v>
      </c>
      <c r="D139" t="s">
        <v>501</v>
      </c>
      <c r="E139" t="s">
        <v>501</v>
      </c>
      <c r="F139" t="s">
        <v>511</v>
      </c>
      <c r="G139">
        <v>3</v>
      </c>
      <c r="H139">
        <v>3</v>
      </c>
      <c r="I139">
        <v>4</v>
      </c>
      <c r="J139" t="s">
        <v>19</v>
      </c>
      <c r="K139" t="s">
        <v>20</v>
      </c>
      <c r="L139" t="s">
        <v>512</v>
      </c>
      <c r="M139" s="1">
        <v>46099</v>
      </c>
      <c r="N139" s="1">
        <v>46136</v>
      </c>
      <c r="O139" t="s">
        <v>513</v>
      </c>
    </row>
    <row r="140" spans="1:15" x14ac:dyDescent="0.3">
      <c r="A140" t="s">
        <v>514</v>
      </c>
      <c r="B140" s="3">
        <v>300000000</v>
      </c>
      <c r="C140" t="s">
        <v>16</v>
      </c>
      <c r="D140" t="s">
        <v>501</v>
      </c>
      <c r="E140" t="s">
        <v>501</v>
      </c>
      <c r="F140" t="s">
        <v>515</v>
      </c>
      <c r="G140">
        <v>4</v>
      </c>
      <c r="H140">
        <v>4</v>
      </c>
      <c r="I140">
        <v>5</v>
      </c>
      <c r="J140" t="s">
        <v>38</v>
      </c>
      <c r="K140" t="s">
        <v>20</v>
      </c>
      <c r="L140" t="s">
        <v>516</v>
      </c>
      <c r="M140" s="1">
        <v>46065</v>
      </c>
      <c r="N140" s="1">
        <v>46136</v>
      </c>
      <c r="O140" t="s">
        <v>517</v>
      </c>
    </row>
    <row r="141" spans="1:15" x14ac:dyDescent="0.3">
      <c r="A141" t="s">
        <v>518</v>
      </c>
      <c r="B141" s="3">
        <v>475000000</v>
      </c>
      <c r="C141" t="s">
        <v>16</v>
      </c>
      <c r="D141" t="s">
        <v>501</v>
      </c>
      <c r="E141" t="s">
        <v>501</v>
      </c>
      <c r="F141" t="s">
        <v>519</v>
      </c>
      <c r="G141">
        <v>5</v>
      </c>
      <c r="H141">
        <v>5</v>
      </c>
      <c r="I141">
        <v>6</v>
      </c>
      <c r="J141" t="s">
        <v>38</v>
      </c>
      <c r="K141" t="s">
        <v>20</v>
      </c>
      <c r="L141" t="s">
        <v>520</v>
      </c>
      <c r="M141" s="1">
        <v>46028</v>
      </c>
      <c r="N141" s="1">
        <v>46136</v>
      </c>
      <c r="O141" t="s">
        <v>521</v>
      </c>
    </row>
    <row r="142" spans="1:15" x14ac:dyDescent="0.3">
      <c r="A142" t="s">
        <v>522</v>
      </c>
      <c r="B142" s="3">
        <v>250000000</v>
      </c>
      <c r="C142" t="s">
        <v>16</v>
      </c>
      <c r="D142" t="s">
        <v>501</v>
      </c>
      <c r="E142" t="s">
        <v>501</v>
      </c>
      <c r="F142" t="s">
        <v>515</v>
      </c>
      <c r="G142">
        <v>4</v>
      </c>
      <c r="H142">
        <v>4</v>
      </c>
      <c r="I142">
        <v>5</v>
      </c>
      <c r="J142" t="s">
        <v>38</v>
      </c>
      <c r="K142" t="s">
        <v>20</v>
      </c>
      <c r="L142" t="s">
        <v>523</v>
      </c>
      <c r="M142" s="1">
        <v>46114</v>
      </c>
      <c r="N142" s="1">
        <v>46136</v>
      </c>
      <c r="O142" t="s">
        <v>524</v>
      </c>
    </row>
    <row r="143" spans="1:15" x14ac:dyDescent="0.3">
      <c r="A143" t="s">
        <v>525</v>
      </c>
      <c r="B143" s="3">
        <v>240000000</v>
      </c>
      <c r="C143" t="s">
        <v>16</v>
      </c>
      <c r="D143" t="s">
        <v>501</v>
      </c>
      <c r="E143" t="s">
        <v>501</v>
      </c>
      <c r="F143" t="s">
        <v>526</v>
      </c>
      <c r="G143">
        <v>4</v>
      </c>
      <c r="H143">
        <v>4</v>
      </c>
      <c r="I143">
        <v>5</v>
      </c>
      <c r="J143" t="s">
        <v>193</v>
      </c>
      <c r="K143" t="s">
        <v>20</v>
      </c>
      <c r="L143" t="s">
        <v>527</v>
      </c>
      <c r="M143" s="1">
        <v>45972</v>
      </c>
      <c r="N143" s="1">
        <v>46136</v>
      </c>
      <c r="O143" t="s">
        <v>528</v>
      </c>
    </row>
    <row r="144" spans="1:15" x14ac:dyDescent="0.3">
      <c r="A144" t="s">
        <v>352</v>
      </c>
      <c r="B144" s="3">
        <v>350000000</v>
      </c>
      <c r="C144" t="s">
        <v>16</v>
      </c>
      <c r="D144" t="s">
        <v>501</v>
      </c>
      <c r="E144" t="s">
        <v>501</v>
      </c>
      <c r="F144" t="s">
        <v>502</v>
      </c>
      <c r="G144">
        <v>4</v>
      </c>
      <c r="H144">
        <v>4</v>
      </c>
      <c r="J144" t="s">
        <v>38</v>
      </c>
      <c r="K144" t="s">
        <v>20</v>
      </c>
      <c r="L144" t="s">
        <v>529</v>
      </c>
      <c r="M144" s="1">
        <v>46108</v>
      </c>
      <c r="N144" s="1">
        <v>46136</v>
      </c>
      <c r="O144" t="s">
        <v>530</v>
      </c>
    </row>
    <row r="145" spans="1:15" x14ac:dyDescent="0.3">
      <c r="A145" t="s">
        <v>531</v>
      </c>
      <c r="B145" s="3">
        <v>200000000</v>
      </c>
      <c r="C145" t="s">
        <v>16</v>
      </c>
      <c r="D145" t="s">
        <v>501</v>
      </c>
      <c r="E145" t="s">
        <v>501</v>
      </c>
      <c r="F145" t="s">
        <v>502</v>
      </c>
      <c r="G145">
        <v>4</v>
      </c>
      <c r="H145">
        <v>4</v>
      </c>
      <c r="I145">
        <v>5</v>
      </c>
      <c r="J145" t="s">
        <v>38</v>
      </c>
      <c r="K145" t="s">
        <v>20</v>
      </c>
      <c r="L145" t="s">
        <v>532</v>
      </c>
      <c r="M145" s="1">
        <v>46136</v>
      </c>
      <c r="N145" s="1">
        <v>46137</v>
      </c>
      <c r="O145" t="s">
        <v>533</v>
      </c>
    </row>
    <row r="146" spans="1:15" x14ac:dyDescent="0.3">
      <c r="A146" t="s">
        <v>15</v>
      </c>
      <c r="B146" s="3">
        <v>150000000</v>
      </c>
      <c r="C146" t="s">
        <v>16</v>
      </c>
      <c r="D146" t="s">
        <v>501</v>
      </c>
      <c r="E146" t="s">
        <v>501</v>
      </c>
      <c r="F146" t="s">
        <v>534</v>
      </c>
      <c r="G146">
        <v>3</v>
      </c>
      <c r="H146">
        <v>3</v>
      </c>
      <c r="I146">
        <v>4</v>
      </c>
      <c r="J146" t="s">
        <v>19</v>
      </c>
      <c r="K146" t="s">
        <v>20</v>
      </c>
      <c r="L146" t="s">
        <v>535</v>
      </c>
      <c r="M146" s="1">
        <v>45875</v>
      </c>
      <c r="N146" s="1">
        <v>46136</v>
      </c>
      <c r="O146" t="s">
        <v>536</v>
      </c>
    </row>
    <row r="147" spans="1:15" x14ac:dyDescent="0.3">
      <c r="A147" t="s">
        <v>537</v>
      </c>
      <c r="B147" s="3">
        <v>210000000</v>
      </c>
      <c r="C147" t="s">
        <v>16</v>
      </c>
      <c r="D147" t="s">
        <v>501</v>
      </c>
      <c r="E147" t="s">
        <v>501</v>
      </c>
      <c r="F147" t="s">
        <v>538</v>
      </c>
      <c r="G147">
        <v>4</v>
      </c>
      <c r="H147">
        <v>4</v>
      </c>
      <c r="I147">
        <v>5</v>
      </c>
      <c r="J147" t="s">
        <v>19</v>
      </c>
      <c r="K147" t="s">
        <v>20</v>
      </c>
      <c r="L147" t="s">
        <v>539</v>
      </c>
      <c r="M147" s="1">
        <v>45900</v>
      </c>
      <c r="N147" s="1">
        <v>46136</v>
      </c>
      <c r="O147" t="s">
        <v>540</v>
      </c>
    </row>
    <row r="148" spans="1:15" x14ac:dyDescent="0.3">
      <c r="A148" t="s">
        <v>541</v>
      </c>
      <c r="B148" s="3">
        <v>180000000</v>
      </c>
      <c r="C148" t="s">
        <v>16</v>
      </c>
      <c r="D148" t="s">
        <v>501</v>
      </c>
      <c r="E148" t="s">
        <v>501</v>
      </c>
      <c r="F148" t="s">
        <v>542</v>
      </c>
      <c r="G148">
        <v>4</v>
      </c>
      <c r="H148">
        <v>4</v>
      </c>
      <c r="I148">
        <v>5</v>
      </c>
      <c r="J148" t="s">
        <v>70</v>
      </c>
      <c r="K148" t="s">
        <v>20</v>
      </c>
      <c r="L148" t="s">
        <v>543</v>
      </c>
      <c r="M148" s="1">
        <v>45936</v>
      </c>
      <c r="N148" s="1">
        <v>46136</v>
      </c>
      <c r="O148" t="s">
        <v>544</v>
      </c>
    </row>
    <row r="149" spans="1:15" x14ac:dyDescent="0.3">
      <c r="A149" t="s">
        <v>545</v>
      </c>
      <c r="B149" s="3">
        <v>100000000</v>
      </c>
      <c r="C149" t="s">
        <v>16</v>
      </c>
      <c r="D149" t="s">
        <v>501</v>
      </c>
      <c r="E149" t="s">
        <v>501</v>
      </c>
      <c r="F149" t="s">
        <v>546</v>
      </c>
      <c r="G149">
        <v>3</v>
      </c>
      <c r="H149">
        <v>3</v>
      </c>
      <c r="I149">
        <v>4</v>
      </c>
      <c r="J149" t="s">
        <v>193</v>
      </c>
      <c r="K149" t="s">
        <v>20</v>
      </c>
      <c r="L149" t="s">
        <v>547</v>
      </c>
      <c r="M149" s="1">
        <v>45960</v>
      </c>
      <c r="N149" s="1">
        <v>46136</v>
      </c>
      <c r="O149" t="s">
        <v>548</v>
      </c>
    </row>
    <row r="150" spans="1:15" x14ac:dyDescent="0.3">
      <c r="A150" t="s">
        <v>549</v>
      </c>
      <c r="B150" s="3">
        <v>110000000</v>
      </c>
      <c r="C150" t="s">
        <v>16</v>
      </c>
      <c r="D150" t="s">
        <v>501</v>
      </c>
      <c r="E150" t="s">
        <v>501</v>
      </c>
      <c r="F150" t="s">
        <v>550</v>
      </c>
      <c r="G150">
        <v>3</v>
      </c>
      <c r="H150">
        <v>3</v>
      </c>
      <c r="I150">
        <v>4</v>
      </c>
      <c r="J150" t="s">
        <v>91</v>
      </c>
      <c r="K150" t="s">
        <v>20</v>
      </c>
      <c r="L150" t="s">
        <v>551</v>
      </c>
      <c r="M150" s="1">
        <v>46121</v>
      </c>
      <c r="N150" s="1">
        <v>46136</v>
      </c>
      <c r="O150" t="s">
        <v>552</v>
      </c>
    </row>
    <row r="151" spans="1:15" x14ac:dyDescent="0.3">
      <c r="A151" t="s">
        <v>321</v>
      </c>
      <c r="B151" s="3">
        <v>65000000</v>
      </c>
      <c r="C151" t="s">
        <v>16</v>
      </c>
      <c r="D151" t="s">
        <v>501</v>
      </c>
      <c r="E151" t="s">
        <v>501</v>
      </c>
      <c r="F151" t="s">
        <v>502</v>
      </c>
      <c r="G151">
        <v>3</v>
      </c>
      <c r="H151">
        <v>3</v>
      </c>
      <c r="I151">
        <v>4</v>
      </c>
      <c r="J151" t="s">
        <v>19</v>
      </c>
      <c r="K151" t="s">
        <v>20</v>
      </c>
      <c r="L151" t="s">
        <v>553</v>
      </c>
      <c r="M151" s="1">
        <v>45824</v>
      </c>
      <c r="N151" s="1">
        <v>46136</v>
      </c>
      <c r="O151" t="s">
        <v>554</v>
      </c>
    </row>
    <row r="152" spans="1:15" x14ac:dyDescent="0.3">
      <c r="A152" t="s">
        <v>15</v>
      </c>
      <c r="B152" s="3">
        <v>60000000</v>
      </c>
      <c r="C152" t="s">
        <v>16</v>
      </c>
      <c r="D152" t="s">
        <v>501</v>
      </c>
      <c r="E152" t="s">
        <v>501</v>
      </c>
      <c r="F152" t="s">
        <v>555</v>
      </c>
      <c r="G152">
        <v>3</v>
      </c>
      <c r="H152">
        <v>3</v>
      </c>
      <c r="I152">
        <v>4</v>
      </c>
      <c r="J152" t="s">
        <v>19</v>
      </c>
      <c r="K152" t="s">
        <v>20</v>
      </c>
      <c r="L152" t="s">
        <v>556</v>
      </c>
      <c r="M152" s="1">
        <v>45826</v>
      </c>
      <c r="N152" s="1">
        <v>46136</v>
      </c>
      <c r="O152" t="s">
        <v>557</v>
      </c>
    </row>
    <row r="153" spans="1:15" x14ac:dyDescent="0.3">
      <c r="A153" t="s">
        <v>558</v>
      </c>
      <c r="B153" s="3">
        <v>95000000</v>
      </c>
      <c r="C153" t="s">
        <v>16</v>
      </c>
      <c r="D153" t="s">
        <v>501</v>
      </c>
      <c r="E153" t="s">
        <v>501</v>
      </c>
      <c r="F153" t="s">
        <v>559</v>
      </c>
      <c r="G153">
        <v>2</v>
      </c>
      <c r="H153">
        <v>2</v>
      </c>
      <c r="I153">
        <v>3</v>
      </c>
      <c r="J153" t="s">
        <v>38</v>
      </c>
      <c r="K153" t="s">
        <v>20</v>
      </c>
      <c r="L153" t="s">
        <v>560</v>
      </c>
      <c r="M153" s="1">
        <v>46036</v>
      </c>
      <c r="N153" s="1">
        <v>46136</v>
      </c>
      <c r="O153" t="s">
        <v>561</v>
      </c>
    </row>
    <row r="154" spans="1:15" x14ac:dyDescent="0.3">
      <c r="A154" t="s">
        <v>144</v>
      </c>
      <c r="B154" s="3">
        <v>235000000</v>
      </c>
      <c r="C154" t="s">
        <v>16</v>
      </c>
      <c r="D154" t="s">
        <v>501</v>
      </c>
      <c r="E154" t="s">
        <v>501</v>
      </c>
      <c r="F154" t="s">
        <v>562</v>
      </c>
      <c r="G154">
        <v>4</v>
      </c>
      <c r="H154">
        <v>4</v>
      </c>
      <c r="I154">
        <v>5</v>
      </c>
      <c r="J154" t="s">
        <v>38</v>
      </c>
      <c r="K154" t="s">
        <v>20</v>
      </c>
      <c r="L154" t="s">
        <v>563</v>
      </c>
      <c r="M154" s="1">
        <v>45897</v>
      </c>
      <c r="N154" s="1">
        <v>46136</v>
      </c>
      <c r="O154" t="s">
        <v>564</v>
      </c>
    </row>
    <row r="155" spans="1:15" x14ac:dyDescent="0.3">
      <c r="A155" t="s">
        <v>565</v>
      </c>
      <c r="B155" s="3">
        <v>180000000</v>
      </c>
      <c r="C155" t="s">
        <v>16</v>
      </c>
      <c r="D155" t="s">
        <v>501</v>
      </c>
      <c r="E155" t="s">
        <v>501</v>
      </c>
      <c r="F155" t="s">
        <v>566</v>
      </c>
      <c r="G155">
        <v>3</v>
      </c>
      <c r="H155">
        <v>3</v>
      </c>
      <c r="I155">
        <v>4</v>
      </c>
      <c r="J155" t="s">
        <v>193</v>
      </c>
      <c r="K155" t="s">
        <v>20</v>
      </c>
      <c r="L155" t="s">
        <v>567</v>
      </c>
      <c r="M155" s="1">
        <v>45900</v>
      </c>
      <c r="N155" s="1">
        <v>46136</v>
      </c>
      <c r="O155" t="s">
        <v>568</v>
      </c>
    </row>
    <row r="156" spans="1:15" x14ac:dyDescent="0.3">
      <c r="A156" t="s">
        <v>569</v>
      </c>
      <c r="B156" s="3">
        <v>120000000</v>
      </c>
      <c r="C156" t="s">
        <v>16</v>
      </c>
      <c r="D156" t="s">
        <v>570</v>
      </c>
      <c r="E156" t="s">
        <v>570</v>
      </c>
      <c r="F156" t="s">
        <v>571</v>
      </c>
      <c r="G156">
        <v>3</v>
      </c>
      <c r="H156">
        <v>3</v>
      </c>
      <c r="I156">
        <v>4</v>
      </c>
      <c r="J156" t="s">
        <v>19</v>
      </c>
      <c r="K156" t="s">
        <v>20</v>
      </c>
      <c r="L156" t="s">
        <v>572</v>
      </c>
      <c r="M156" s="1">
        <v>46058</v>
      </c>
      <c r="N156" s="1">
        <v>46136</v>
      </c>
      <c r="O156" t="s">
        <v>573</v>
      </c>
    </row>
    <row r="157" spans="1:15" x14ac:dyDescent="0.3">
      <c r="A157" t="s">
        <v>574</v>
      </c>
      <c r="B157" s="3">
        <v>480000000</v>
      </c>
      <c r="C157" t="s">
        <v>16</v>
      </c>
      <c r="D157" t="s">
        <v>570</v>
      </c>
      <c r="E157" t="s">
        <v>570</v>
      </c>
      <c r="F157" t="s">
        <v>575</v>
      </c>
      <c r="G157">
        <v>5</v>
      </c>
      <c r="H157">
        <v>5</v>
      </c>
      <c r="I157">
        <v>6</v>
      </c>
      <c r="J157" t="s">
        <v>38</v>
      </c>
      <c r="K157" t="s">
        <v>20</v>
      </c>
      <c r="L157" t="s">
        <v>576</v>
      </c>
      <c r="M157" s="1">
        <v>45945</v>
      </c>
      <c r="N157" s="1">
        <v>46136</v>
      </c>
      <c r="O157" t="s">
        <v>577</v>
      </c>
    </row>
    <row r="158" spans="1:15" x14ac:dyDescent="0.3">
      <c r="A158" t="s">
        <v>578</v>
      </c>
      <c r="B158" s="3">
        <v>295000000</v>
      </c>
      <c r="C158" t="s">
        <v>16</v>
      </c>
      <c r="D158" t="s">
        <v>570</v>
      </c>
      <c r="E158" t="s">
        <v>570</v>
      </c>
      <c r="F158" t="s">
        <v>579</v>
      </c>
      <c r="G158">
        <v>4</v>
      </c>
      <c r="H158">
        <v>5</v>
      </c>
      <c r="I158">
        <v>6</v>
      </c>
      <c r="J158" t="s">
        <v>38</v>
      </c>
      <c r="K158" t="s">
        <v>20</v>
      </c>
      <c r="L158" t="s">
        <v>580</v>
      </c>
      <c r="M158" s="1">
        <v>46114</v>
      </c>
      <c r="N158" s="1">
        <v>46136</v>
      </c>
      <c r="O158" t="s">
        <v>581</v>
      </c>
    </row>
    <row r="159" spans="1:15" x14ac:dyDescent="0.3">
      <c r="A159" t="s">
        <v>582</v>
      </c>
      <c r="B159" s="3">
        <v>150000000</v>
      </c>
      <c r="C159" t="s">
        <v>16</v>
      </c>
      <c r="D159" t="s">
        <v>570</v>
      </c>
      <c r="E159" t="s">
        <v>570</v>
      </c>
      <c r="F159" t="s">
        <v>583</v>
      </c>
      <c r="G159">
        <v>3</v>
      </c>
      <c r="H159">
        <v>3</v>
      </c>
      <c r="I159">
        <v>4</v>
      </c>
      <c r="J159" t="s">
        <v>91</v>
      </c>
      <c r="K159" t="s">
        <v>20</v>
      </c>
      <c r="L159" t="s">
        <v>584</v>
      </c>
      <c r="M159" s="1">
        <v>46084</v>
      </c>
      <c r="N159" s="1">
        <v>46136</v>
      </c>
      <c r="O159" t="s">
        <v>585</v>
      </c>
    </row>
    <row r="160" spans="1:15" x14ac:dyDescent="0.3">
      <c r="A160" t="s">
        <v>586</v>
      </c>
      <c r="B160" s="3">
        <v>370000000</v>
      </c>
      <c r="C160" t="s">
        <v>16</v>
      </c>
      <c r="D160" t="s">
        <v>570</v>
      </c>
      <c r="E160" t="s">
        <v>570</v>
      </c>
      <c r="F160" t="s">
        <v>587</v>
      </c>
      <c r="G160">
        <v>5</v>
      </c>
      <c r="H160">
        <v>4</v>
      </c>
      <c r="I160">
        <v>6</v>
      </c>
      <c r="J160" t="s">
        <v>19</v>
      </c>
      <c r="K160" t="s">
        <v>20</v>
      </c>
      <c r="L160" t="s">
        <v>588</v>
      </c>
      <c r="M160" s="1">
        <v>45815</v>
      </c>
      <c r="N160" s="1">
        <v>46136</v>
      </c>
      <c r="O160" t="s">
        <v>589</v>
      </c>
    </row>
    <row r="161" spans="1:15" x14ac:dyDescent="0.3">
      <c r="A161" t="s">
        <v>227</v>
      </c>
      <c r="B161" s="3">
        <v>80000000</v>
      </c>
      <c r="C161" t="s">
        <v>16</v>
      </c>
      <c r="D161" t="s">
        <v>570</v>
      </c>
      <c r="E161" t="s">
        <v>570</v>
      </c>
      <c r="F161" t="s">
        <v>590</v>
      </c>
      <c r="G161">
        <v>2</v>
      </c>
      <c r="H161">
        <v>2</v>
      </c>
      <c r="I161">
        <v>3</v>
      </c>
      <c r="J161" t="s">
        <v>19</v>
      </c>
      <c r="K161" t="s">
        <v>20</v>
      </c>
      <c r="L161" t="s">
        <v>591</v>
      </c>
      <c r="M161" s="1">
        <v>46081</v>
      </c>
      <c r="N161" s="1">
        <v>46136</v>
      </c>
      <c r="O161" t="s">
        <v>592</v>
      </c>
    </row>
    <row r="162" spans="1:15" x14ac:dyDescent="0.3">
      <c r="A162" t="s">
        <v>593</v>
      </c>
      <c r="B162" s="3">
        <v>120000000</v>
      </c>
      <c r="C162" t="s">
        <v>16</v>
      </c>
      <c r="D162" t="s">
        <v>570</v>
      </c>
      <c r="E162" t="s">
        <v>570</v>
      </c>
      <c r="F162" t="s">
        <v>594</v>
      </c>
      <c r="G162">
        <v>4</v>
      </c>
      <c r="H162">
        <v>4</v>
      </c>
      <c r="I162">
        <v>5</v>
      </c>
      <c r="J162" t="s">
        <v>38</v>
      </c>
      <c r="K162" t="s">
        <v>20</v>
      </c>
      <c r="L162" t="s">
        <v>595</v>
      </c>
      <c r="M162" s="1">
        <v>45879</v>
      </c>
      <c r="N162" s="1">
        <v>46136</v>
      </c>
      <c r="O162" t="s">
        <v>596</v>
      </c>
    </row>
    <row r="163" spans="1:15" x14ac:dyDescent="0.3">
      <c r="A163" t="s">
        <v>597</v>
      </c>
      <c r="B163" s="3">
        <v>120000000</v>
      </c>
      <c r="C163" t="s">
        <v>16</v>
      </c>
      <c r="D163" t="s">
        <v>570</v>
      </c>
      <c r="E163" t="s">
        <v>570</v>
      </c>
      <c r="F163" t="s">
        <v>598</v>
      </c>
      <c r="G163">
        <v>3</v>
      </c>
      <c r="H163">
        <v>3</v>
      </c>
      <c r="I163">
        <v>4</v>
      </c>
      <c r="J163" t="s">
        <v>19</v>
      </c>
      <c r="K163" t="s">
        <v>20</v>
      </c>
      <c r="L163" t="s">
        <v>599</v>
      </c>
      <c r="M163" s="1">
        <v>45887</v>
      </c>
      <c r="N163" s="1">
        <v>46136</v>
      </c>
      <c r="O163" t="s">
        <v>600</v>
      </c>
    </row>
    <row r="164" spans="1:15" x14ac:dyDescent="0.3">
      <c r="A164" t="s">
        <v>601</v>
      </c>
      <c r="B164" s="3">
        <v>260000000</v>
      </c>
      <c r="C164" t="s">
        <v>16</v>
      </c>
      <c r="D164" t="s">
        <v>570</v>
      </c>
      <c r="E164" t="s">
        <v>570</v>
      </c>
      <c r="F164" t="s">
        <v>602</v>
      </c>
      <c r="G164">
        <v>5</v>
      </c>
      <c r="H164">
        <v>5</v>
      </c>
      <c r="I164">
        <v>6</v>
      </c>
      <c r="J164" t="s">
        <v>91</v>
      </c>
      <c r="K164" t="s">
        <v>20</v>
      </c>
      <c r="L164" t="s">
        <v>603</v>
      </c>
      <c r="M164" s="1">
        <v>46136</v>
      </c>
      <c r="N164" s="1">
        <v>46136</v>
      </c>
      <c r="O164" t="s">
        <v>604</v>
      </c>
    </row>
    <row r="165" spans="1:15" x14ac:dyDescent="0.3">
      <c r="A165" t="s">
        <v>605</v>
      </c>
      <c r="B165" s="3">
        <v>170000000</v>
      </c>
      <c r="C165" t="s">
        <v>16</v>
      </c>
      <c r="D165" t="s">
        <v>570</v>
      </c>
      <c r="E165" t="s">
        <v>570</v>
      </c>
      <c r="F165" t="s">
        <v>606</v>
      </c>
      <c r="G165">
        <v>4</v>
      </c>
      <c r="H165">
        <v>4</v>
      </c>
      <c r="I165">
        <v>5</v>
      </c>
      <c r="J165" t="s">
        <v>38</v>
      </c>
      <c r="K165" t="s">
        <v>20</v>
      </c>
      <c r="L165" t="s">
        <v>607</v>
      </c>
      <c r="M165" s="1">
        <v>45879</v>
      </c>
      <c r="N165" s="1">
        <v>46136</v>
      </c>
      <c r="O165" t="s">
        <v>608</v>
      </c>
    </row>
    <row r="166" spans="1:15" x14ac:dyDescent="0.3">
      <c r="A166" t="s">
        <v>609</v>
      </c>
      <c r="B166" s="3">
        <v>250000000</v>
      </c>
      <c r="C166" t="s">
        <v>16</v>
      </c>
      <c r="D166" t="s">
        <v>570</v>
      </c>
      <c r="E166" t="s">
        <v>570</v>
      </c>
      <c r="F166" t="s">
        <v>610</v>
      </c>
      <c r="G166">
        <v>5</v>
      </c>
      <c r="H166">
        <v>7</v>
      </c>
      <c r="I166">
        <v>7</v>
      </c>
      <c r="J166" t="s">
        <v>38</v>
      </c>
      <c r="K166" t="s">
        <v>20</v>
      </c>
      <c r="L166" t="s">
        <v>611</v>
      </c>
      <c r="M166" s="1">
        <v>46104</v>
      </c>
      <c r="N166" s="1">
        <v>46136</v>
      </c>
      <c r="O166" t="s">
        <v>612</v>
      </c>
    </row>
    <row r="167" spans="1:15" x14ac:dyDescent="0.3">
      <c r="A167" t="s">
        <v>613</v>
      </c>
      <c r="B167" s="3">
        <v>180000000</v>
      </c>
      <c r="C167" t="s">
        <v>16</v>
      </c>
      <c r="D167" t="s">
        <v>570</v>
      </c>
      <c r="E167" t="s">
        <v>570</v>
      </c>
      <c r="F167" t="s">
        <v>610</v>
      </c>
      <c r="G167">
        <v>4</v>
      </c>
      <c r="H167">
        <v>7</v>
      </c>
      <c r="I167">
        <v>7</v>
      </c>
      <c r="J167" t="s">
        <v>38</v>
      </c>
      <c r="K167" t="s">
        <v>20</v>
      </c>
      <c r="L167" t="s">
        <v>614</v>
      </c>
      <c r="M167" s="1">
        <v>46104</v>
      </c>
      <c r="N167" s="1">
        <v>46136</v>
      </c>
      <c r="O167" t="s">
        <v>615</v>
      </c>
    </row>
    <row r="168" spans="1:15" x14ac:dyDescent="0.3">
      <c r="A168" t="s">
        <v>616</v>
      </c>
      <c r="B168" s="3">
        <v>300000000</v>
      </c>
      <c r="C168" t="s">
        <v>16</v>
      </c>
      <c r="D168" t="s">
        <v>570</v>
      </c>
      <c r="E168" t="s">
        <v>570</v>
      </c>
      <c r="F168" t="s">
        <v>610</v>
      </c>
      <c r="G168">
        <v>5</v>
      </c>
      <c r="H168">
        <v>7</v>
      </c>
      <c r="I168">
        <v>7</v>
      </c>
      <c r="J168" t="s">
        <v>38</v>
      </c>
      <c r="K168" t="s">
        <v>20</v>
      </c>
      <c r="L168" t="s">
        <v>617</v>
      </c>
      <c r="M168" s="1">
        <v>46104</v>
      </c>
      <c r="N168" s="1">
        <v>46136</v>
      </c>
      <c r="O168" t="s">
        <v>618</v>
      </c>
    </row>
    <row r="169" spans="1:15" x14ac:dyDescent="0.3">
      <c r="A169" t="s">
        <v>497</v>
      </c>
      <c r="B169" s="3">
        <v>330000000</v>
      </c>
      <c r="C169" t="s">
        <v>16</v>
      </c>
      <c r="D169" t="s">
        <v>570</v>
      </c>
      <c r="E169" t="s">
        <v>570</v>
      </c>
      <c r="F169" t="s">
        <v>619</v>
      </c>
      <c r="G169">
        <v>5</v>
      </c>
      <c r="H169">
        <v>5</v>
      </c>
      <c r="I169">
        <v>6</v>
      </c>
      <c r="J169" t="s">
        <v>70</v>
      </c>
      <c r="K169" t="s">
        <v>20</v>
      </c>
      <c r="L169" t="s">
        <v>620</v>
      </c>
      <c r="M169" s="1">
        <v>45905</v>
      </c>
      <c r="N169" s="1">
        <v>46136</v>
      </c>
      <c r="O169" t="s">
        <v>621</v>
      </c>
    </row>
    <row r="170" spans="1:15" x14ac:dyDescent="0.3">
      <c r="A170" t="s">
        <v>622</v>
      </c>
      <c r="B170" s="3">
        <v>170000000</v>
      </c>
      <c r="C170" t="s">
        <v>16</v>
      </c>
      <c r="D170" t="s">
        <v>570</v>
      </c>
      <c r="E170" t="s">
        <v>570</v>
      </c>
      <c r="F170" t="s">
        <v>623</v>
      </c>
      <c r="G170">
        <v>3</v>
      </c>
      <c r="H170">
        <v>4</v>
      </c>
      <c r="I170">
        <v>4</v>
      </c>
      <c r="J170" t="s">
        <v>193</v>
      </c>
      <c r="K170" t="s">
        <v>20</v>
      </c>
      <c r="L170" t="s">
        <v>624</v>
      </c>
      <c r="M170" s="1">
        <v>46130</v>
      </c>
      <c r="N170" s="1">
        <v>46136</v>
      </c>
      <c r="O170" t="s">
        <v>625</v>
      </c>
    </row>
    <row r="171" spans="1:15" x14ac:dyDescent="0.3">
      <c r="A171" t="s">
        <v>626</v>
      </c>
      <c r="B171" s="3">
        <v>125000000</v>
      </c>
      <c r="C171" t="s">
        <v>16</v>
      </c>
      <c r="D171" t="s">
        <v>570</v>
      </c>
      <c r="E171" t="s">
        <v>570</v>
      </c>
      <c r="F171" t="s">
        <v>587</v>
      </c>
      <c r="G171">
        <v>3</v>
      </c>
      <c r="H171">
        <v>3</v>
      </c>
      <c r="J171" t="s">
        <v>19</v>
      </c>
      <c r="K171" t="s">
        <v>20</v>
      </c>
      <c r="L171" t="s">
        <v>627</v>
      </c>
      <c r="M171" s="1">
        <v>46064</v>
      </c>
      <c r="N171" s="1">
        <v>46136</v>
      </c>
      <c r="O171" t="s">
        <v>628</v>
      </c>
    </row>
    <row r="172" spans="1:15" x14ac:dyDescent="0.3">
      <c r="A172" t="s">
        <v>116</v>
      </c>
      <c r="B172" s="3">
        <v>225000000</v>
      </c>
      <c r="C172" t="s">
        <v>16</v>
      </c>
      <c r="D172" t="s">
        <v>570</v>
      </c>
      <c r="E172" t="s">
        <v>570</v>
      </c>
      <c r="F172" t="s">
        <v>587</v>
      </c>
      <c r="G172">
        <v>4</v>
      </c>
      <c r="H172">
        <v>4</v>
      </c>
      <c r="J172" t="s">
        <v>70</v>
      </c>
      <c r="K172" t="s">
        <v>20</v>
      </c>
      <c r="L172" t="s">
        <v>629</v>
      </c>
      <c r="M172" s="1">
        <v>46064</v>
      </c>
      <c r="N172" s="1">
        <v>46136</v>
      </c>
      <c r="O172" t="s">
        <v>630</v>
      </c>
    </row>
    <row r="173" spans="1:15" x14ac:dyDescent="0.3">
      <c r="A173" t="s">
        <v>77</v>
      </c>
      <c r="B173" s="3">
        <v>185000000</v>
      </c>
      <c r="C173" t="s">
        <v>16</v>
      </c>
      <c r="D173" t="s">
        <v>570</v>
      </c>
      <c r="E173" t="s">
        <v>570</v>
      </c>
      <c r="F173" t="s">
        <v>587</v>
      </c>
      <c r="G173">
        <v>4</v>
      </c>
      <c r="H173">
        <v>4</v>
      </c>
      <c r="J173" t="s">
        <v>29</v>
      </c>
      <c r="K173" t="s">
        <v>20</v>
      </c>
      <c r="L173" t="s">
        <v>631</v>
      </c>
      <c r="M173" s="1">
        <v>46064</v>
      </c>
      <c r="N173" s="1">
        <v>46136</v>
      </c>
      <c r="O173" t="s">
        <v>632</v>
      </c>
    </row>
    <row r="174" spans="1:15" x14ac:dyDescent="0.3">
      <c r="A174" t="s">
        <v>107</v>
      </c>
      <c r="B174" s="3">
        <v>290000000</v>
      </c>
      <c r="C174" t="s">
        <v>16</v>
      </c>
      <c r="D174" t="s">
        <v>570</v>
      </c>
      <c r="E174" t="s">
        <v>570</v>
      </c>
      <c r="F174" t="s">
        <v>587</v>
      </c>
      <c r="G174">
        <v>5</v>
      </c>
      <c r="H174">
        <v>5</v>
      </c>
      <c r="J174" t="s">
        <v>38</v>
      </c>
      <c r="K174" t="s">
        <v>20</v>
      </c>
      <c r="L174" t="s">
        <v>633</v>
      </c>
      <c r="M174" s="1">
        <v>46064</v>
      </c>
      <c r="N174" s="1">
        <v>46136</v>
      </c>
      <c r="O174" t="s">
        <v>634</v>
      </c>
    </row>
    <row r="175" spans="1:15" x14ac:dyDescent="0.3">
      <c r="A175" t="s">
        <v>380</v>
      </c>
      <c r="B175" s="3">
        <v>120000000</v>
      </c>
      <c r="C175" t="s">
        <v>16</v>
      </c>
      <c r="D175" t="s">
        <v>259</v>
      </c>
      <c r="E175" t="s">
        <v>259</v>
      </c>
      <c r="F175" t="s">
        <v>635</v>
      </c>
      <c r="G175">
        <v>4</v>
      </c>
      <c r="H175">
        <v>4</v>
      </c>
      <c r="J175" t="s">
        <v>29</v>
      </c>
      <c r="K175" t="s">
        <v>20</v>
      </c>
      <c r="L175" t="s">
        <v>636</v>
      </c>
      <c r="M175" s="1">
        <v>46108</v>
      </c>
      <c r="N175" s="1">
        <v>46136</v>
      </c>
      <c r="O175" t="s">
        <v>637</v>
      </c>
    </row>
    <row r="176" spans="1:15" x14ac:dyDescent="0.3">
      <c r="A176" t="s">
        <v>638</v>
      </c>
      <c r="B176" s="3">
        <v>85000000</v>
      </c>
      <c r="C176" t="s">
        <v>16</v>
      </c>
      <c r="D176" t="s">
        <v>259</v>
      </c>
      <c r="E176" t="s">
        <v>259</v>
      </c>
      <c r="F176" t="s">
        <v>635</v>
      </c>
      <c r="G176">
        <v>2</v>
      </c>
      <c r="H176">
        <v>2</v>
      </c>
      <c r="J176" t="s">
        <v>29</v>
      </c>
      <c r="K176" t="s">
        <v>20</v>
      </c>
      <c r="L176" t="s">
        <v>639</v>
      </c>
      <c r="M176" s="1">
        <v>46108</v>
      </c>
      <c r="N176" s="1">
        <v>46136</v>
      </c>
      <c r="O176" t="s">
        <v>640</v>
      </c>
    </row>
    <row r="177" spans="1:15" x14ac:dyDescent="0.3">
      <c r="A177" t="s">
        <v>641</v>
      </c>
      <c r="B177" s="3">
        <v>95000000</v>
      </c>
      <c r="C177" t="s">
        <v>16</v>
      </c>
      <c r="D177" t="s">
        <v>259</v>
      </c>
      <c r="E177" t="s">
        <v>259</v>
      </c>
      <c r="F177" t="s">
        <v>635</v>
      </c>
      <c r="G177">
        <v>3</v>
      </c>
      <c r="H177">
        <v>3</v>
      </c>
      <c r="J177" t="s">
        <v>29</v>
      </c>
      <c r="K177" t="s">
        <v>20</v>
      </c>
      <c r="L177" t="s">
        <v>642</v>
      </c>
      <c r="M177" s="1">
        <v>46108</v>
      </c>
      <c r="N177" s="1">
        <v>46136</v>
      </c>
      <c r="O177" t="s">
        <v>643</v>
      </c>
    </row>
    <row r="178" spans="1:15" x14ac:dyDescent="0.3">
      <c r="A178" t="s">
        <v>644</v>
      </c>
      <c r="B178" s="3">
        <v>75000000</v>
      </c>
      <c r="C178" t="s">
        <v>16</v>
      </c>
      <c r="D178" t="s">
        <v>259</v>
      </c>
      <c r="E178" t="s">
        <v>259</v>
      </c>
      <c r="F178" t="s">
        <v>635</v>
      </c>
      <c r="G178">
        <v>2</v>
      </c>
      <c r="H178">
        <v>2</v>
      </c>
      <c r="J178" t="s">
        <v>29</v>
      </c>
      <c r="K178" t="s">
        <v>20</v>
      </c>
      <c r="L178" t="s">
        <v>645</v>
      </c>
      <c r="M178" s="1">
        <v>45912</v>
      </c>
      <c r="N178" s="1">
        <v>46136</v>
      </c>
      <c r="O178" t="s">
        <v>646</v>
      </c>
    </row>
    <row r="179" spans="1:15" x14ac:dyDescent="0.3">
      <c r="A179" t="s">
        <v>545</v>
      </c>
      <c r="B179" s="3">
        <v>85000000</v>
      </c>
      <c r="C179" t="s">
        <v>16</v>
      </c>
      <c r="D179" t="s">
        <v>259</v>
      </c>
      <c r="E179" t="s">
        <v>259</v>
      </c>
      <c r="F179" t="s">
        <v>647</v>
      </c>
      <c r="G179">
        <v>3</v>
      </c>
      <c r="H179">
        <v>4</v>
      </c>
      <c r="I179">
        <v>4</v>
      </c>
      <c r="J179" t="s">
        <v>193</v>
      </c>
      <c r="K179" t="s">
        <v>20</v>
      </c>
      <c r="L179" t="s">
        <v>648</v>
      </c>
      <c r="M179" s="1">
        <v>46099</v>
      </c>
      <c r="N179" s="1">
        <v>46136</v>
      </c>
      <c r="O179" t="s">
        <v>649</v>
      </c>
    </row>
    <row r="180" spans="1:15" x14ac:dyDescent="0.3">
      <c r="A180" t="s">
        <v>650</v>
      </c>
      <c r="B180" s="3">
        <v>120000000</v>
      </c>
      <c r="C180" t="s">
        <v>16</v>
      </c>
      <c r="D180" t="s">
        <v>259</v>
      </c>
      <c r="E180" t="s">
        <v>259</v>
      </c>
      <c r="F180" t="s">
        <v>651</v>
      </c>
      <c r="G180">
        <v>4</v>
      </c>
      <c r="H180">
        <v>5</v>
      </c>
      <c r="I180">
        <v>5</v>
      </c>
      <c r="J180" t="s">
        <v>70</v>
      </c>
      <c r="K180" t="s">
        <v>20</v>
      </c>
      <c r="L180" t="s">
        <v>652</v>
      </c>
      <c r="M180" s="1">
        <v>46107</v>
      </c>
      <c r="N180" s="1">
        <v>46136</v>
      </c>
      <c r="O180" t="s">
        <v>653</v>
      </c>
    </row>
    <row r="181" spans="1:15" x14ac:dyDescent="0.3">
      <c r="A181" t="s">
        <v>654</v>
      </c>
      <c r="B181" s="3">
        <v>300000000</v>
      </c>
      <c r="C181" t="s">
        <v>16</v>
      </c>
      <c r="D181" t="s">
        <v>259</v>
      </c>
      <c r="E181" t="s">
        <v>259</v>
      </c>
      <c r="F181" t="s">
        <v>655</v>
      </c>
      <c r="G181">
        <v>2</v>
      </c>
      <c r="H181">
        <v>3</v>
      </c>
      <c r="I181">
        <v>3</v>
      </c>
      <c r="J181" t="s">
        <v>19</v>
      </c>
      <c r="K181" t="s">
        <v>20</v>
      </c>
      <c r="L181" t="s">
        <v>656</v>
      </c>
      <c r="M181" s="1">
        <v>46122</v>
      </c>
      <c r="N181" s="1">
        <v>46136</v>
      </c>
      <c r="O181" t="s">
        <v>657</v>
      </c>
    </row>
    <row r="182" spans="1:15" x14ac:dyDescent="0.3">
      <c r="A182" t="s">
        <v>227</v>
      </c>
      <c r="B182" s="3">
        <v>75000000</v>
      </c>
      <c r="C182" t="s">
        <v>16</v>
      </c>
      <c r="D182" t="s">
        <v>259</v>
      </c>
      <c r="E182" t="s">
        <v>259</v>
      </c>
      <c r="F182" t="s">
        <v>658</v>
      </c>
      <c r="G182">
        <v>2</v>
      </c>
      <c r="H182">
        <v>3</v>
      </c>
      <c r="I182">
        <v>3</v>
      </c>
      <c r="J182" t="s">
        <v>19</v>
      </c>
      <c r="K182" t="s">
        <v>20</v>
      </c>
      <c r="L182" t="s">
        <v>659</v>
      </c>
      <c r="M182" s="1">
        <v>46128</v>
      </c>
      <c r="N182" s="1">
        <v>46136</v>
      </c>
      <c r="O182" t="s">
        <v>660</v>
      </c>
    </row>
    <row r="183" spans="1:15" x14ac:dyDescent="0.3">
      <c r="A183" t="s">
        <v>227</v>
      </c>
      <c r="B183" s="3">
        <v>40000000</v>
      </c>
      <c r="C183" t="s">
        <v>16</v>
      </c>
      <c r="D183" t="s">
        <v>259</v>
      </c>
      <c r="E183" t="s">
        <v>259</v>
      </c>
      <c r="F183" t="s">
        <v>661</v>
      </c>
      <c r="G183">
        <v>2</v>
      </c>
      <c r="H183">
        <v>3</v>
      </c>
      <c r="I183">
        <v>3</v>
      </c>
      <c r="J183" t="s">
        <v>19</v>
      </c>
      <c r="K183" t="s">
        <v>20</v>
      </c>
      <c r="L183" t="s">
        <v>662</v>
      </c>
      <c r="M183" s="1">
        <v>46109</v>
      </c>
      <c r="N183" s="1">
        <v>46136</v>
      </c>
      <c r="O183" t="s">
        <v>663</v>
      </c>
    </row>
    <row r="184" spans="1:15" x14ac:dyDescent="0.3">
      <c r="A184" t="s">
        <v>664</v>
      </c>
      <c r="B184" s="3">
        <v>180000000</v>
      </c>
      <c r="C184" t="s">
        <v>16</v>
      </c>
      <c r="D184" t="s">
        <v>259</v>
      </c>
      <c r="E184" t="s">
        <v>259</v>
      </c>
      <c r="F184" t="s">
        <v>635</v>
      </c>
      <c r="G184">
        <v>6</v>
      </c>
      <c r="H184">
        <v>10</v>
      </c>
      <c r="I184">
        <v>10</v>
      </c>
      <c r="J184" t="s">
        <v>19</v>
      </c>
      <c r="K184" t="s">
        <v>20</v>
      </c>
      <c r="L184" t="s">
        <v>665</v>
      </c>
      <c r="M184" s="1">
        <v>46098</v>
      </c>
      <c r="N184" s="1">
        <v>46136</v>
      </c>
      <c r="O184" t="s">
        <v>666</v>
      </c>
    </row>
    <row r="185" spans="1:15" x14ac:dyDescent="0.3">
      <c r="A185" t="s">
        <v>32</v>
      </c>
      <c r="B185" s="3">
        <v>130000000</v>
      </c>
      <c r="C185" t="s">
        <v>16</v>
      </c>
      <c r="D185" t="s">
        <v>259</v>
      </c>
      <c r="E185" t="s">
        <v>259</v>
      </c>
      <c r="F185" t="s">
        <v>667</v>
      </c>
      <c r="G185">
        <v>4</v>
      </c>
      <c r="H185">
        <v>4</v>
      </c>
      <c r="I185">
        <v>5</v>
      </c>
      <c r="J185" t="s">
        <v>19</v>
      </c>
      <c r="K185" t="s">
        <v>20</v>
      </c>
      <c r="L185" t="s">
        <v>668</v>
      </c>
      <c r="M185" s="1">
        <v>45833</v>
      </c>
      <c r="N185" s="1">
        <v>46136</v>
      </c>
      <c r="O185" t="s">
        <v>669</v>
      </c>
    </row>
    <row r="186" spans="1:15" x14ac:dyDescent="0.3">
      <c r="A186" t="s">
        <v>622</v>
      </c>
      <c r="B186" s="3">
        <v>40000000</v>
      </c>
      <c r="C186" t="s">
        <v>16</v>
      </c>
      <c r="D186" t="s">
        <v>259</v>
      </c>
      <c r="E186" t="s">
        <v>259</v>
      </c>
      <c r="F186" t="s">
        <v>670</v>
      </c>
      <c r="G186">
        <v>3</v>
      </c>
      <c r="H186">
        <v>4</v>
      </c>
      <c r="I186">
        <v>4</v>
      </c>
      <c r="J186" t="s">
        <v>193</v>
      </c>
      <c r="K186" t="s">
        <v>20</v>
      </c>
      <c r="L186" t="s">
        <v>671</v>
      </c>
      <c r="M186" s="1">
        <v>46131</v>
      </c>
      <c r="N186" s="1">
        <v>46136</v>
      </c>
      <c r="O186" t="s">
        <v>672</v>
      </c>
    </row>
    <row r="187" spans="1:15" x14ac:dyDescent="0.3">
      <c r="A187" t="s">
        <v>138</v>
      </c>
      <c r="B187" s="3">
        <v>45000000</v>
      </c>
      <c r="C187" t="s">
        <v>16</v>
      </c>
      <c r="D187" t="s">
        <v>259</v>
      </c>
      <c r="E187" t="s">
        <v>259</v>
      </c>
      <c r="F187" t="s">
        <v>673</v>
      </c>
      <c r="G187">
        <v>2</v>
      </c>
      <c r="H187">
        <v>3</v>
      </c>
      <c r="I187">
        <v>3</v>
      </c>
      <c r="J187" t="s">
        <v>19</v>
      </c>
      <c r="K187" t="s">
        <v>20</v>
      </c>
      <c r="L187" t="s">
        <v>674</v>
      </c>
      <c r="M187" s="1">
        <v>46013</v>
      </c>
      <c r="N187" s="1">
        <v>46136</v>
      </c>
      <c r="O187" t="s">
        <v>675</v>
      </c>
    </row>
    <row r="188" spans="1:15" x14ac:dyDescent="0.3">
      <c r="A188" t="s">
        <v>676</v>
      </c>
      <c r="B188" s="3">
        <v>125000000</v>
      </c>
      <c r="C188" t="s">
        <v>16</v>
      </c>
      <c r="D188" t="s">
        <v>677</v>
      </c>
      <c r="E188" t="s">
        <v>677</v>
      </c>
      <c r="F188" t="s">
        <v>678</v>
      </c>
      <c r="G188">
        <v>3</v>
      </c>
      <c r="H188">
        <v>3</v>
      </c>
      <c r="I188">
        <v>4</v>
      </c>
      <c r="J188" t="s">
        <v>19</v>
      </c>
      <c r="K188" t="s">
        <v>20</v>
      </c>
      <c r="L188" t="s">
        <v>679</v>
      </c>
      <c r="M188" s="1">
        <v>45983</v>
      </c>
      <c r="N188" s="1">
        <v>46136</v>
      </c>
      <c r="O188" t="s">
        <v>680</v>
      </c>
    </row>
    <row r="189" spans="1:15" x14ac:dyDescent="0.3">
      <c r="A189" t="s">
        <v>208</v>
      </c>
      <c r="B189" s="3">
        <v>100000000</v>
      </c>
      <c r="C189" t="s">
        <v>16</v>
      </c>
      <c r="D189" t="s">
        <v>677</v>
      </c>
      <c r="E189" t="s">
        <v>677</v>
      </c>
      <c r="F189" t="s">
        <v>681</v>
      </c>
      <c r="G189">
        <v>2</v>
      </c>
      <c r="H189">
        <v>2</v>
      </c>
      <c r="I189">
        <v>3</v>
      </c>
      <c r="J189" t="s">
        <v>19</v>
      </c>
      <c r="K189" t="s">
        <v>20</v>
      </c>
      <c r="L189" t="s">
        <v>682</v>
      </c>
      <c r="M189" s="1">
        <v>45983</v>
      </c>
      <c r="N189" s="1">
        <v>46136</v>
      </c>
      <c r="O189" t="s">
        <v>683</v>
      </c>
    </row>
    <row r="190" spans="1:15" x14ac:dyDescent="0.3">
      <c r="A190" t="s">
        <v>684</v>
      </c>
      <c r="B190" s="3">
        <v>280000000</v>
      </c>
      <c r="C190" t="s">
        <v>16</v>
      </c>
      <c r="D190" t="s">
        <v>677</v>
      </c>
      <c r="E190" t="s">
        <v>677</v>
      </c>
      <c r="F190" t="s">
        <v>685</v>
      </c>
      <c r="G190">
        <v>4</v>
      </c>
      <c r="H190">
        <v>4</v>
      </c>
      <c r="I190">
        <v>5</v>
      </c>
      <c r="J190" t="s">
        <v>29</v>
      </c>
      <c r="K190" t="s">
        <v>20</v>
      </c>
      <c r="L190" t="s">
        <v>686</v>
      </c>
      <c r="M190" s="1">
        <v>45918</v>
      </c>
      <c r="N190" s="1">
        <v>46136</v>
      </c>
      <c r="O190" t="s">
        <v>687</v>
      </c>
    </row>
    <row r="191" spans="1:15" x14ac:dyDescent="0.3">
      <c r="A191" t="s">
        <v>369</v>
      </c>
      <c r="B191" s="3">
        <v>63000000</v>
      </c>
      <c r="C191" t="s">
        <v>16</v>
      </c>
      <c r="D191" t="s">
        <v>677</v>
      </c>
      <c r="E191" t="s">
        <v>677</v>
      </c>
      <c r="F191" t="s">
        <v>688</v>
      </c>
      <c r="G191">
        <v>2</v>
      </c>
      <c r="H191">
        <v>3</v>
      </c>
      <c r="I191">
        <v>3</v>
      </c>
      <c r="J191" t="s">
        <v>19</v>
      </c>
      <c r="K191" t="s">
        <v>20</v>
      </c>
      <c r="L191" t="s">
        <v>689</v>
      </c>
      <c r="M191" s="1">
        <v>46107</v>
      </c>
      <c r="N191" s="1">
        <v>46136</v>
      </c>
      <c r="O191" t="s">
        <v>690</v>
      </c>
    </row>
    <row r="192" spans="1:15" x14ac:dyDescent="0.3">
      <c r="A192" t="s">
        <v>691</v>
      </c>
      <c r="B192" s="3">
        <v>140000000</v>
      </c>
      <c r="C192" t="s">
        <v>16</v>
      </c>
      <c r="D192" t="s">
        <v>677</v>
      </c>
      <c r="E192" t="s">
        <v>677</v>
      </c>
      <c r="F192" t="s">
        <v>692</v>
      </c>
      <c r="G192">
        <v>5</v>
      </c>
      <c r="H192">
        <v>6</v>
      </c>
      <c r="I192">
        <v>6</v>
      </c>
      <c r="J192" t="s">
        <v>38</v>
      </c>
      <c r="K192" t="s">
        <v>20</v>
      </c>
      <c r="L192" t="s">
        <v>693</v>
      </c>
      <c r="M192" s="1">
        <v>46114</v>
      </c>
      <c r="N192" s="1">
        <v>46136</v>
      </c>
      <c r="O192" t="s">
        <v>694</v>
      </c>
    </row>
    <row r="193" spans="1:15" x14ac:dyDescent="0.3">
      <c r="A193" t="s">
        <v>199</v>
      </c>
      <c r="B193" s="3">
        <v>65000000</v>
      </c>
      <c r="C193" t="s">
        <v>16</v>
      </c>
      <c r="D193" t="s">
        <v>677</v>
      </c>
      <c r="E193" t="s">
        <v>677</v>
      </c>
      <c r="F193" t="s">
        <v>685</v>
      </c>
      <c r="G193">
        <v>3</v>
      </c>
      <c r="H193">
        <v>3</v>
      </c>
      <c r="J193" t="s">
        <v>19</v>
      </c>
      <c r="K193" t="s">
        <v>20</v>
      </c>
      <c r="L193" t="s">
        <v>695</v>
      </c>
      <c r="M193" s="1">
        <v>46076</v>
      </c>
      <c r="N193" s="1">
        <v>46136</v>
      </c>
      <c r="O193" t="s">
        <v>696</v>
      </c>
    </row>
    <row r="194" spans="1:15" x14ac:dyDescent="0.3">
      <c r="A194" t="s">
        <v>275</v>
      </c>
      <c r="B194" s="3">
        <v>250000000</v>
      </c>
      <c r="C194" t="s">
        <v>16</v>
      </c>
      <c r="D194" t="s">
        <v>677</v>
      </c>
      <c r="E194" t="s">
        <v>677</v>
      </c>
      <c r="F194" t="s">
        <v>692</v>
      </c>
      <c r="G194">
        <v>5</v>
      </c>
      <c r="H194">
        <v>5</v>
      </c>
      <c r="J194" t="s">
        <v>29</v>
      </c>
      <c r="K194" t="s">
        <v>20</v>
      </c>
      <c r="L194" t="s">
        <v>697</v>
      </c>
      <c r="M194" s="1">
        <v>46083</v>
      </c>
      <c r="N194" s="1">
        <v>46136</v>
      </c>
      <c r="O194" t="s">
        <v>698</v>
      </c>
    </row>
    <row r="195" spans="1:15" x14ac:dyDescent="0.3">
      <c r="A195" t="s">
        <v>77</v>
      </c>
      <c r="B195" s="3">
        <v>300000000</v>
      </c>
      <c r="C195" t="s">
        <v>16</v>
      </c>
      <c r="D195" t="s">
        <v>677</v>
      </c>
      <c r="E195" t="s">
        <v>677</v>
      </c>
      <c r="F195" t="s">
        <v>685</v>
      </c>
      <c r="G195">
        <v>4</v>
      </c>
      <c r="H195">
        <v>4</v>
      </c>
      <c r="J195" t="s">
        <v>29</v>
      </c>
      <c r="K195" t="s">
        <v>20</v>
      </c>
      <c r="L195" t="s">
        <v>699</v>
      </c>
      <c r="M195" s="1">
        <v>46076</v>
      </c>
      <c r="N195" s="1">
        <v>46136</v>
      </c>
      <c r="O195" t="s">
        <v>700</v>
      </c>
    </row>
    <row r="196" spans="1:15" x14ac:dyDescent="0.3">
      <c r="A196" t="s">
        <v>701</v>
      </c>
      <c r="B196" s="3">
        <v>140000000</v>
      </c>
      <c r="C196" t="s">
        <v>16</v>
      </c>
      <c r="D196" t="s">
        <v>677</v>
      </c>
      <c r="E196" t="s">
        <v>677</v>
      </c>
      <c r="F196" t="s">
        <v>685</v>
      </c>
      <c r="G196">
        <v>5</v>
      </c>
      <c r="H196">
        <v>5</v>
      </c>
      <c r="I196">
        <v>5</v>
      </c>
      <c r="J196" t="s">
        <v>38</v>
      </c>
      <c r="K196" t="s">
        <v>20</v>
      </c>
      <c r="L196" t="s">
        <v>702</v>
      </c>
      <c r="M196" s="1">
        <v>46115</v>
      </c>
      <c r="N196" s="1">
        <v>46136</v>
      </c>
      <c r="O196" t="s">
        <v>703</v>
      </c>
    </row>
    <row r="197" spans="1:15" x14ac:dyDescent="0.3">
      <c r="A197" t="s">
        <v>704</v>
      </c>
      <c r="B197" s="3">
        <v>150000000</v>
      </c>
      <c r="C197" t="s">
        <v>16</v>
      </c>
      <c r="D197" t="s">
        <v>677</v>
      </c>
      <c r="E197" t="s">
        <v>677</v>
      </c>
      <c r="F197" t="s">
        <v>705</v>
      </c>
      <c r="G197">
        <v>3</v>
      </c>
      <c r="H197">
        <v>3</v>
      </c>
      <c r="I197">
        <v>4</v>
      </c>
      <c r="J197" t="s">
        <v>70</v>
      </c>
      <c r="K197" t="s">
        <v>20</v>
      </c>
      <c r="L197" t="s">
        <v>706</v>
      </c>
      <c r="M197" s="1">
        <v>45914</v>
      </c>
      <c r="N197" s="1">
        <v>46136</v>
      </c>
      <c r="O197" t="s">
        <v>707</v>
      </c>
    </row>
    <row r="198" spans="1:15" x14ac:dyDescent="0.3">
      <c r="A198" t="s">
        <v>32</v>
      </c>
      <c r="B198" s="3">
        <v>250000000</v>
      </c>
      <c r="C198" t="s">
        <v>16</v>
      </c>
      <c r="D198" t="s">
        <v>677</v>
      </c>
      <c r="E198" t="s">
        <v>677</v>
      </c>
      <c r="F198" t="s">
        <v>708</v>
      </c>
      <c r="G198">
        <v>4</v>
      </c>
      <c r="H198">
        <v>5</v>
      </c>
      <c r="J198" t="s">
        <v>19</v>
      </c>
      <c r="K198" t="s">
        <v>20</v>
      </c>
      <c r="L198" t="s">
        <v>709</v>
      </c>
      <c r="M198" s="1">
        <v>46012</v>
      </c>
      <c r="N198" s="1">
        <v>46136</v>
      </c>
      <c r="O198" t="s">
        <v>710</v>
      </c>
    </row>
    <row r="199" spans="1:15" x14ac:dyDescent="0.3">
      <c r="A199" t="s">
        <v>133</v>
      </c>
      <c r="B199" s="3">
        <v>250000000</v>
      </c>
      <c r="C199" t="s">
        <v>16</v>
      </c>
      <c r="D199" t="s">
        <v>677</v>
      </c>
      <c r="E199" t="s">
        <v>677</v>
      </c>
      <c r="F199" t="s">
        <v>685</v>
      </c>
      <c r="G199">
        <v>4</v>
      </c>
      <c r="H199">
        <v>4</v>
      </c>
      <c r="I199">
        <v>5</v>
      </c>
      <c r="J199" t="s">
        <v>29</v>
      </c>
      <c r="K199" t="s">
        <v>20</v>
      </c>
      <c r="L199" t="s">
        <v>711</v>
      </c>
      <c r="M199" s="1">
        <v>46024</v>
      </c>
      <c r="N199" s="1">
        <v>46136</v>
      </c>
      <c r="O199" t="s">
        <v>712</v>
      </c>
    </row>
    <row r="200" spans="1:15" x14ac:dyDescent="0.3">
      <c r="A200" t="s">
        <v>208</v>
      </c>
      <c r="B200" s="3">
        <v>65000000</v>
      </c>
      <c r="C200" t="s">
        <v>16</v>
      </c>
      <c r="D200" t="s">
        <v>677</v>
      </c>
      <c r="E200" t="s">
        <v>677</v>
      </c>
      <c r="F200" t="s">
        <v>685</v>
      </c>
      <c r="G200">
        <v>2</v>
      </c>
      <c r="H200">
        <v>2</v>
      </c>
      <c r="I200">
        <v>3</v>
      </c>
      <c r="J200" t="s">
        <v>19</v>
      </c>
      <c r="K200" t="s">
        <v>20</v>
      </c>
      <c r="L200" t="s">
        <v>713</v>
      </c>
      <c r="M200" s="1">
        <v>46046</v>
      </c>
      <c r="N200" s="1">
        <v>46136</v>
      </c>
      <c r="O200" t="s">
        <v>714</v>
      </c>
    </row>
    <row r="201" spans="1:15" x14ac:dyDescent="0.3">
      <c r="A201" t="s">
        <v>715</v>
      </c>
      <c r="B201" s="3">
        <v>68000000</v>
      </c>
      <c r="C201" t="s">
        <v>16</v>
      </c>
      <c r="D201" t="s">
        <v>677</v>
      </c>
      <c r="E201" t="s">
        <v>677</v>
      </c>
      <c r="F201" t="s">
        <v>716</v>
      </c>
      <c r="G201">
        <v>2</v>
      </c>
      <c r="H201">
        <v>2</v>
      </c>
      <c r="I201">
        <v>3</v>
      </c>
      <c r="J201" t="s">
        <v>19</v>
      </c>
      <c r="K201" t="s">
        <v>20</v>
      </c>
      <c r="L201" t="s">
        <v>717</v>
      </c>
      <c r="M201" s="1">
        <v>46075</v>
      </c>
      <c r="N201" s="1">
        <v>46136</v>
      </c>
      <c r="O201" t="s">
        <v>718</v>
      </c>
    </row>
    <row r="202" spans="1:15" x14ac:dyDescent="0.3">
      <c r="A202" t="s">
        <v>138</v>
      </c>
      <c r="B202" s="3">
        <v>68000000</v>
      </c>
      <c r="C202" t="s">
        <v>16</v>
      </c>
      <c r="D202" t="s">
        <v>677</v>
      </c>
      <c r="E202" t="s">
        <v>677</v>
      </c>
      <c r="F202" t="s">
        <v>719</v>
      </c>
      <c r="G202">
        <v>2</v>
      </c>
      <c r="H202">
        <v>2</v>
      </c>
      <c r="I202">
        <v>3</v>
      </c>
      <c r="J202" t="s">
        <v>19</v>
      </c>
      <c r="K202" t="s">
        <v>20</v>
      </c>
      <c r="L202" t="s">
        <v>720</v>
      </c>
      <c r="M202" s="1">
        <v>46074</v>
      </c>
      <c r="N202" s="1">
        <v>46136</v>
      </c>
      <c r="O202" t="s">
        <v>721</v>
      </c>
    </row>
    <row r="203" spans="1:15" x14ac:dyDescent="0.3">
      <c r="A203" t="s">
        <v>545</v>
      </c>
      <c r="B203" s="3">
        <v>69000000</v>
      </c>
      <c r="C203" t="s">
        <v>16</v>
      </c>
      <c r="D203" t="s">
        <v>677</v>
      </c>
      <c r="E203" t="s">
        <v>677</v>
      </c>
      <c r="F203" t="s">
        <v>722</v>
      </c>
      <c r="G203">
        <v>3</v>
      </c>
      <c r="H203">
        <v>3</v>
      </c>
      <c r="I203">
        <v>4</v>
      </c>
      <c r="J203" t="s">
        <v>193</v>
      </c>
      <c r="K203" t="s">
        <v>20</v>
      </c>
      <c r="L203" t="s">
        <v>723</v>
      </c>
      <c r="M203" s="1">
        <v>46087</v>
      </c>
      <c r="N203" s="1">
        <v>46136</v>
      </c>
      <c r="O203" t="s">
        <v>724</v>
      </c>
    </row>
    <row r="204" spans="1:15" x14ac:dyDescent="0.3">
      <c r="A204" t="s">
        <v>725</v>
      </c>
      <c r="B204" s="3">
        <v>250000000</v>
      </c>
      <c r="C204" t="s">
        <v>16</v>
      </c>
      <c r="D204" t="s">
        <v>677</v>
      </c>
      <c r="E204" t="s">
        <v>677</v>
      </c>
      <c r="F204" t="s">
        <v>726</v>
      </c>
      <c r="G204">
        <v>4</v>
      </c>
      <c r="H204">
        <v>4</v>
      </c>
      <c r="I204">
        <v>5</v>
      </c>
      <c r="J204" t="s">
        <v>38</v>
      </c>
      <c r="K204" t="s">
        <v>20</v>
      </c>
      <c r="L204" t="s">
        <v>727</v>
      </c>
      <c r="M204" s="1">
        <v>46122</v>
      </c>
      <c r="N204" s="1">
        <v>46136</v>
      </c>
      <c r="O204" t="s">
        <v>728</v>
      </c>
    </row>
    <row r="205" spans="1:15" x14ac:dyDescent="0.3">
      <c r="A205" t="s">
        <v>729</v>
      </c>
      <c r="B205" s="3">
        <v>400000000</v>
      </c>
      <c r="C205" t="s">
        <v>16</v>
      </c>
      <c r="D205" t="s">
        <v>677</v>
      </c>
      <c r="E205" t="s">
        <v>677</v>
      </c>
      <c r="F205" t="s">
        <v>685</v>
      </c>
      <c r="G205">
        <v>3</v>
      </c>
      <c r="H205">
        <v>3</v>
      </c>
      <c r="I205">
        <v>4</v>
      </c>
      <c r="J205" t="s">
        <v>29</v>
      </c>
      <c r="K205" t="s">
        <v>20</v>
      </c>
      <c r="L205" t="s">
        <v>730</v>
      </c>
      <c r="M205" s="1">
        <v>45985</v>
      </c>
      <c r="N205" s="1">
        <v>46136</v>
      </c>
      <c r="O205" t="s">
        <v>731</v>
      </c>
    </row>
    <row r="206" spans="1:15" x14ac:dyDescent="0.3">
      <c r="A206" t="s">
        <v>732</v>
      </c>
      <c r="B206" s="3">
        <v>330000000</v>
      </c>
      <c r="C206" t="s">
        <v>16</v>
      </c>
      <c r="D206" t="s">
        <v>733</v>
      </c>
      <c r="E206" t="s">
        <v>733</v>
      </c>
      <c r="F206" t="s">
        <v>734</v>
      </c>
      <c r="G206">
        <v>4</v>
      </c>
      <c r="H206">
        <v>4</v>
      </c>
      <c r="I206">
        <v>5</v>
      </c>
      <c r="J206" t="s">
        <v>91</v>
      </c>
      <c r="K206" t="s">
        <v>20</v>
      </c>
      <c r="L206" t="s">
        <v>735</v>
      </c>
      <c r="M206" s="1">
        <v>46129</v>
      </c>
      <c r="N206" s="1">
        <v>46136</v>
      </c>
      <c r="O206" t="s">
        <v>736</v>
      </c>
    </row>
    <row r="207" spans="1:15" x14ac:dyDescent="0.3">
      <c r="A207" t="s">
        <v>737</v>
      </c>
      <c r="B207" s="3">
        <v>2500000000</v>
      </c>
      <c r="C207" t="s">
        <v>16</v>
      </c>
      <c r="D207" t="s">
        <v>733</v>
      </c>
      <c r="E207" t="s">
        <v>733</v>
      </c>
      <c r="F207" t="s">
        <v>738</v>
      </c>
      <c r="G207">
        <v>5</v>
      </c>
      <c r="H207">
        <v>5</v>
      </c>
      <c r="I207">
        <v>6</v>
      </c>
      <c r="J207" t="s">
        <v>38</v>
      </c>
      <c r="K207" t="s">
        <v>20</v>
      </c>
      <c r="L207" t="s">
        <v>739</v>
      </c>
      <c r="M207" s="1">
        <v>45935</v>
      </c>
      <c r="N207" s="1">
        <v>46136</v>
      </c>
      <c r="O207" t="s">
        <v>740</v>
      </c>
    </row>
    <row r="208" spans="1:15" x14ac:dyDescent="0.3">
      <c r="A208" t="s">
        <v>107</v>
      </c>
      <c r="B208" s="3">
        <v>440000000</v>
      </c>
      <c r="C208" t="s">
        <v>16</v>
      </c>
      <c r="D208" t="s">
        <v>733</v>
      </c>
      <c r="E208" t="s">
        <v>733</v>
      </c>
      <c r="F208" t="s">
        <v>741</v>
      </c>
      <c r="G208">
        <v>5</v>
      </c>
      <c r="H208">
        <v>5</v>
      </c>
      <c r="I208">
        <v>6</v>
      </c>
      <c r="J208" t="s">
        <v>38</v>
      </c>
      <c r="K208" t="s">
        <v>20</v>
      </c>
      <c r="L208" t="s">
        <v>742</v>
      </c>
      <c r="M208" s="1">
        <v>46073</v>
      </c>
      <c r="N208" s="1">
        <v>46136</v>
      </c>
      <c r="O208" t="s">
        <v>743</v>
      </c>
    </row>
    <row r="209" spans="1:15" x14ac:dyDescent="0.3">
      <c r="A209" t="s">
        <v>744</v>
      </c>
      <c r="B209" s="3">
        <v>2500000000</v>
      </c>
      <c r="C209" t="s">
        <v>16</v>
      </c>
      <c r="D209" t="s">
        <v>733</v>
      </c>
      <c r="E209" t="s">
        <v>733</v>
      </c>
      <c r="F209" t="s">
        <v>745</v>
      </c>
      <c r="G209">
        <v>8</v>
      </c>
      <c r="H209">
        <v>8</v>
      </c>
      <c r="I209">
        <v>9</v>
      </c>
      <c r="J209" t="s">
        <v>38</v>
      </c>
      <c r="K209" t="s">
        <v>20</v>
      </c>
      <c r="L209" t="s">
        <v>746</v>
      </c>
      <c r="M209" s="1">
        <v>46045</v>
      </c>
      <c r="N209" s="1">
        <v>46136</v>
      </c>
      <c r="O209" t="s">
        <v>747</v>
      </c>
    </row>
    <row r="210" spans="1:15" x14ac:dyDescent="0.3">
      <c r="A210" t="s">
        <v>748</v>
      </c>
      <c r="B210" s="3">
        <v>800000000</v>
      </c>
      <c r="C210" t="s">
        <v>16</v>
      </c>
      <c r="D210" t="s">
        <v>733</v>
      </c>
      <c r="E210" t="s">
        <v>733</v>
      </c>
      <c r="F210" t="s">
        <v>749</v>
      </c>
      <c r="G210">
        <v>4</v>
      </c>
      <c r="H210">
        <v>4</v>
      </c>
      <c r="I210">
        <v>5</v>
      </c>
      <c r="J210" t="s">
        <v>38</v>
      </c>
      <c r="K210" t="s">
        <v>20</v>
      </c>
      <c r="L210" t="s">
        <v>750</v>
      </c>
      <c r="M210" s="1">
        <v>46049</v>
      </c>
      <c r="N210" s="1">
        <v>46136</v>
      </c>
      <c r="O210" t="s">
        <v>751</v>
      </c>
    </row>
    <row r="211" spans="1:15" x14ac:dyDescent="0.3">
      <c r="A211" t="s">
        <v>77</v>
      </c>
      <c r="B211" s="3">
        <v>370000000</v>
      </c>
      <c r="C211" t="s">
        <v>16</v>
      </c>
      <c r="D211" t="s">
        <v>733</v>
      </c>
      <c r="E211" t="s">
        <v>733</v>
      </c>
      <c r="F211" t="s">
        <v>752</v>
      </c>
      <c r="G211">
        <v>4</v>
      </c>
      <c r="H211">
        <v>4</v>
      </c>
      <c r="I211">
        <v>5</v>
      </c>
      <c r="J211" t="s">
        <v>29</v>
      </c>
      <c r="K211" t="s">
        <v>20</v>
      </c>
      <c r="L211" t="s">
        <v>753</v>
      </c>
      <c r="M211" s="1">
        <v>46020</v>
      </c>
      <c r="N211" s="1">
        <v>46136</v>
      </c>
      <c r="O211" t="s">
        <v>754</v>
      </c>
    </row>
    <row r="212" spans="1:15" x14ac:dyDescent="0.3">
      <c r="A212" t="s">
        <v>755</v>
      </c>
      <c r="B212" s="3">
        <v>3000000000</v>
      </c>
      <c r="C212" t="s">
        <v>16</v>
      </c>
      <c r="D212" t="s">
        <v>733</v>
      </c>
      <c r="E212" t="s">
        <v>733</v>
      </c>
      <c r="F212" t="s">
        <v>756</v>
      </c>
      <c r="G212">
        <v>7</v>
      </c>
      <c r="H212">
        <v>7</v>
      </c>
      <c r="I212">
        <v>8</v>
      </c>
      <c r="J212" t="s">
        <v>19</v>
      </c>
      <c r="K212" t="s">
        <v>20</v>
      </c>
      <c r="L212" t="s">
        <v>757</v>
      </c>
      <c r="M212" s="1">
        <v>46008</v>
      </c>
      <c r="N212" s="1">
        <v>46136</v>
      </c>
      <c r="O212" t="s">
        <v>758</v>
      </c>
    </row>
    <row r="213" spans="1:15" x14ac:dyDescent="0.3">
      <c r="A213" t="s">
        <v>759</v>
      </c>
      <c r="B213" s="3">
        <v>650000000</v>
      </c>
      <c r="C213" t="s">
        <v>16</v>
      </c>
      <c r="D213" t="s">
        <v>733</v>
      </c>
      <c r="E213" t="s">
        <v>733</v>
      </c>
      <c r="F213" t="s">
        <v>760</v>
      </c>
      <c r="G213">
        <v>5</v>
      </c>
      <c r="H213">
        <v>6</v>
      </c>
      <c r="I213">
        <v>6</v>
      </c>
      <c r="J213" t="s">
        <v>38</v>
      </c>
      <c r="K213" t="s">
        <v>20</v>
      </c>
      <c r="L213" t="s">
        <v>761</v>
      </c>
      <c r="M213" s="1">
        <v>46132</v>
      </c>
      <c r="N213" s="1">
        <v>46136</v>
      </c>
      <c r="O213" t="s">
        <v>762</v>
      </c>
    </row>
    <row r="214" spans="1:15" x14ac:dyDescent="0.3">
      <c r="A214" t="s">
        <v>763</v>
      </c>
      <c r="B214" s="3">
        <v>350000000</v>
      </c>
      <c r="C214" t="s">
        <v>16</v>
      </c>
      <c r="D214" t="s">
        <v>733</v>
      </c>
      <c r="E214" t="s">
        <v>733</v>
      </c>
      <c r="F214" t="s">
        <v>734</v>
      </c>
      <c r="G214">
        <v>4</v>
      </c>
      <c r="H214">
        <v>4</v>
      </c>
      <c r="I214">
        <v>5</v>
      </c>
      <c r="J214" t="s">
        <v>91</v>
      </c>
      <c r="K214" t="s">
        <v>20</v>
      </c>
      <c r="L214" t="s">
        <v>764</v>
      </c>
      <c r="M214" s="1">
        <v>46135</v>
      </c>
      <c r="N214" s="1">
        <v>46136</v>
      </c>
      <c r="O214" t="s">
        <v>765</v>
      </c>
    </row>
    <row r="215" spans="1:15" x14ac:dyDescent="0.3">
      <c r="A215" t="s">
        <v>766</v>
      </c>
      <c r="B215" s="3">
        <v>750000000</v>
      </c>
      <c r="C215" t="s">
        <v>16</v>
      </c>
      <c r="D215" t="s">
        <v>733</v>
      </c>
      <c r="E215" t="s">
        <v>733</v>
      </c>
      <c r="F215" t="s">
        <v>767</v>
      </c>
      <c r="G215">
        <v>5</v>
      </c>
      <c r="H215">
        <v>5</v>
      </c>
      <c r="I215">
        <v>6</v>
      </c>
      <c r="J215" t="s">
        <v>38</v>
      </c>
      <c r="K215" t="s">
        <v>20</v>
      </c>
      <c r="L215" t="s">
        <v>768</v>
      </c>
      <c r="M215" s="1">
        <v>46085</v>
      </c>
      <c r="N215" s="1">
        <v>46136</v>
      </c>
      <c r="O215" t="s">
        <v>769</v>
      </c>
    </row>
    <row r="216" spans="1:15" x14ac:dyDescent="0.3">
      <c r="A216" t="s">
        <v>15</v>
      </c>
      <c r="B216" s="3">
        <v>300000000</v>
      </c>
      <c r="C216" t="s">
        <v>16</v>
      </c>
      <c r="D216" t="s">
        <v>733</v>
      </c>
      <c r="E216" t="s">
        <v>733</v>
      </c>
      <c r="F216" t="s">
        <v>734</v>
      </c>
      <c r="G216">
        <v>3</v>
      </c>
      <c r="H216">
        <v>3</v>
      </c>
      <c r="I216">
        <v>4</v>
      </c>
      <c r="J216" t="s">
        <v>19</v>
      </c>
      <c r="K216" t="s">
        <v>20</v>
      </c>
      <c r="L216" t="s">
        <v>770</v>
      </c>
      <c r="M216" s="1">
        <v>45902</v>
      </c>
      <c r="N216" s="1">
        <v>46136</v>
      </c>
      <c r="O216" t="s">
        <v>771</v>
      </c>
    </row>
    <row r="217" spans="1:15" x14ac:dyDescent="0.3">
      <c r="A217" t="s">
        <v>265</v>
      </c>
      <c r="B217" s="3">
        <v>900000000</v>
      </c>
      <c r="C217" t="s">
        <v>16</v>
      </c>
      <c r="D217" t="s">
        <v>733</v>
      </c>
      <c r="E217" t="s">
        <v>733</v>
      </c>
      <c r="F217" t="s">
        <v>734</v>
      </c>
      <c r="G217">
        <v>4</v>
      </c>
      <c r="H217">
        <v>4</v>
      </c>
      <c r="I217">
        <v>5</v>
      </c>
      <c r="J217" t="s">
        <v>91</v>
      </c>
      <c r="K217" t="s">
        <v>20</v>
      </c>
      <c r="L217" t="s">
        <v>772</v>
      </c>
      <c r="M217" s="1">
        <v>45772</v>
      </c>
      <c r="N217" s="1">
        <v>46136</v>
      </c>
      <c r="O217" t="s">
        <v>773</v>
      </c>
    </row>
    <row r="218" spans="1:15" x14ac:dyDescent="0.3">
      <c r="A218" t="s">
        <v>32</v>
      </c>
      <c r="B218" s="3">
        <v>750000000</v>
      </c>
      <c r="C218" t="s">
        <v>16</v>
      </c>
      <c r="D218" t="s">
        <v>733</v>
      </c>
      <c r="E218" t="s">
        <v>733</v>
      </c>
      <c r="F218" t="s">
        <v>734</v>
      </c>
      <c r="G218">
        <v>4</v>
      </c>
      <c r="H218">
        <v>4</v>
      </c>
      <c r="I218">
        <v>5</v>
      </c>
      <c r="J218" t="s">
        <v>19</v>
      </c>
      <c r="K218" t="s">
        <v>20</v>
      </c>
      <c r="L218" t="s">
        <v>774</v>
      </c>
      <c r="M218" s="1">
        <v>45785</v>
      </c>
      <c r="N218" s="1">
        <v>46136</v>
      </c>
      <c r="O218" t="s">
        <v>775</v>
      </c>
    </row>
    <row r="219" spans="1:15" x14ac:dyDescent="0.3">
      <c r="A219" t="s">
        <v>776</v>
      </c>
      <c r="B219" s="3">
        <v>700000000</v>
      </c>
      <c r="C219" t="s">
        <v>16</v>
      </c>
      <c r="D219" t="s">
        <v>733</v>
      </c>
      <c r="E219" t="s">
        <v>733</v>
      </c>
      <c r="F219" t="s">
        <v>734</v>
      </c>
      <c r="G219">
        <v>5</v>
      </c>
      <c r="H219">
        <v>5</v>
      </c>
      <c r="I219">
        <v>6</v>
      </c>
      <c r="J219" t="s">
        <v>38</v>
      </c>
      <c r="K219" t="s">
        <v>20</v>
      </c>
      <c r="L219" t="s">
        <v>777</v>
      </c>
      <c r="M219" s="1">
        <v>45953</v>
      </c>
      <c r="N219" s="1">
        <v>46136</v>
      </c>
      <c r="O219" t="s">
        <v>778</v>
      </c>
    </row>
    <row r="220" spans="1:15" x14ac:dyDescent="0.3">
      <c r="A220" t="s">
        <v>779</v>
      </c>
      <c r="B220" s="3">
        <v>600000000</v>
      </c>
      <c r="C220" t="s">
        <v>16</v>
      </c>
      <c r="D220" t="s">
        <v>733</v>
      </c>
      <c r="E220" t="s">
        <v>733</v>
      </c>
      <c r="F220" t="s">
        <v>734</v>
      </c>
      <c r="G220">
        <v>5</v>
      </c>
      <c r="H220">
        <v>5</v>
      </c>
      <c r="I220">
        <v>5</v>
      </c>
      <c r="J220" t="s">
        <v>38</v>
      </c>
      <c r="K220" t="s">
        <v>20</v>
      </c>
      <c r="L220" t="s">
        <v>780</v>
      </c>
      <c r="M220" s="1">
        <v>45930</v>
      </c>
      <c r="N220" s="1">
        <v>46136</v>
      </c>
      <c r="O220" t="s">
        <v>781</v>
      </c>
    </row>
    <row r="221" spans="1:15" x14ac:dyDescent="0.3">
      <c r="A221" t="s">
        <v>782</v>
      </c>
      <c r="B221" s="3">
        <v>680000000</v>
      </c>
      <c r="C221" t="s">
        <v>16</v>
      </c>
      <c r="D221" t="s">
        <v>783</v>
      </c>
      <c r="E221" t="s">
        <v>783</v>
      </c>
      <c r="F221" t="s">
        <v>784</v>
      </c>
      <c r="G221">
        <v>5</v>
      </c>
      <c r="H221">
        <v>5</v>
      </c>
      <c r="J221" t="s">
        <v>38</v>
      </c>
      <c r="K221" t="s">
        <v>20</v>
      </c>
      <c r="L221" t="s">
        <v>785</v>
      </c>
      <c r="M221" s="1">
        <v>46097</v>
      </c>
      <c r="N221" s="1">
        <v>46136</v>
      </c>
      <c r="O221" t="s">
        <v>786</v>
      </c>
    </row>
    <row r="222" spans="1:15" x14ac:dyDescent="0.3">
      <c r="A222" t="s">
        <v>782</v>
      </c>
      <c r="B222" s="3">
        <v>680000000</v>
      </c>
      <c r="C222" t="s">
        <v>16</v>
      </c>
      <c r="D222" t="s">
        <v>783</v>
      </c>
      <c r="E222" t="s">
        <v>783</v>
      </c>
      <c r="F222" t="s">
        <v>784</v>
      </c>
      <c r="G222">
        <v>5</v>
      </c>
      <c r="H222">
        <v>5</v>
      </c>
      <c r="J222" t="s">
        <v>38</v>
      </c>
      <c r="K222" t="s">
        <v>20</v>
      </c>
      <c r="L222" t="s">
        <v>787</v>
      </c>
      <c r="M222" s="1">
        <v>46092</v>
      </c>
      <c r="N222" s="1">
        <v>46136</v>
      </c>
      <c r="O222" t="s">
        <v>788</v>
      </c>
    </row>
    <row r="223" spans="1:15" x14ac:dyDescent="0.3">
      <c r="A223" t="s">
        <v>107</v>
      </c>
      <c r="B223" s="3">
        <v>780000000</v>
      </c>
      <c r="C223" t="s">
        <v>16</v>
      </c>
      <c r="D223" t="s">
        <v>783</v>
      </c>
      <c r="E223" t="s">
        <v>783</v>
      </c>
      <c r="F223" t="s">
        <v>784</v>
      </c>
      <c r="G223">
        <v>5</v>
      </c>
      <c r="H223">
        <v>5</v>
      </c>
      <c r="J223" t="s">
        <v>38</v>
      </c>
      <c r="K223" t="s">
        <v>20</v>
      </c>
      <c r="L223" t="s">
        <v>789</v>
      </c>
      <c r="M223" s="1">
        <v>46048</v>
      </c>
      <c r="N223" s="1">
        <v>46136</v>
      </c>
      <c r="O223" t="s">
        <v>790</v>
      </c>
    </row>
    <row r="224" spans="1:15" x14ac:dyDescent="0.3">
      <c r="A224" t="s">
        <v>791</v>
      </c>
      <c r="B224" s="3">
        <v>1290000000</v>
      </c>
      <c r="C224" t="s">
        <v>16</v>
      </c>
      <c r="D224" t="s">
        <v>783</v>
      </c>
      <c r="E224" t="s">
        <v>783</v>
      </c>
      <c r="F224" t="s">
        <v>792</v>
      </c>
      <c r="G224">
        <v>10</v>
      </c>
      <c r="H224">
        <v>10</v>
      </c>
      <c r="I224">
        <v>10</v>
      </c>
      <c r="J224" t="s">
        <v>38</v>
      </c>
      <c r="K224" t="s">
        <v>20</v>
      </c>
      <c r="L224" t="s">
        <v>793</v>
      </c>
      <c r="M224" s="1">
        <v>46131</v>
      </c>
      <c r="N224" s="1">
        <v>46136</v>
      </c>
      <c r="O224" t="s">
        <v>794</v>
      </c>
    </row>
    <row r="225" spans="1:15" x14ac:dyDescent="0.3">
      <c r="A225" t="s">
        <v>795</v>
      </c>
      <c r="B225" s="3">
        <v>750000000</v>
      </c>
      <c r="C225" t="s">
        <v>16</v>
      </c>
      <c r="D225" t="s">
        <v>783</v>
      </c>
      <c r="E225" t="s">
        <v>783</v>
      </c>
      <c r="F225" t="s">
        <v>796</v>
      </c>
      <c r="G225">
        <v>4</v>
      </c>
      <c r="H225">
        <v>4</v>
      </c>
      <c r="I225">
        <v>5</v>
      </c>
      <c r="J225" t="s">
        <v>91</v>
      </c>
      <c r="K225" t="s">
        <v>20</v>
      </c>
      <c r="L225" t="s">
        <v>797</v>
      </c>
      <c r="M225" s="1">
        <v>46138</v>
      </c>
      <c r="O225" t="s">
        <v>798</v>
      </c>
    </row>
    <row r="226" spans="1:15" x14ac:dyDescent="0.3">
      <c r="A226" t="s">
        <v>799</v>
      </c>
      <c r="B226" s="3">
        <v>3500000000</v>
      </c>
      <c r="C226" t="s">
        <v>16</v>
      </c>
      <c r="D226" t="s">
        <v>783</v>
      </c>
      <c r="E226" t="s">
        <v>783</v>
      </c>
      <c r="F226" t="s">
        <v>784</v>
      </c>
      <c r="G226">
        <v>1</v>
      </c>
      <c r="H226">
        <v>1</v>
      </c>
      <c r="J226" t="s">
        <v>19</v>
      </c>
      <c r="K226" t="s">
        <v>20</v>
      </c>
      <c r="L226" t="s">
        <v>800</v>
      </c>
      <c r="M226" s="1">
        <v>45888</v>
      </c>
      <c r="N226" s="1">
        <v>46136</v>
      </c>
      <c r="O226" t="s">
        <v>801</v>
      </c>
    </row>
    <row r="227" spans="1:15" x14ac:dyDescent="0.3">
      <c r="A227" t="s">
        <v>144</v>
      </c>
      <c r="B227" s="3">
        <v>550000000</v>
      </c>
      <c r="C227" t="s">
        <v>16</v>
      </c>
      <c r="D227" t="s">
        <v>783</v>
      </c>
      <c r="E227" t="s">
        <v>783</v>
      </c>
      <c r="F227" t="s">
        <v>784</v>
      </c>
      <c r="G227">
        <v>4</v>
      </c>
      <c r="H227">
        <v>4</v>
      </c>
      <c r="J227" t="s">
        <v>38</v>
      </c>
      <c r="K227" t="s">
        <v>20</v>
      </c>
      <c r="L227" t="s">
        <v>802</v>
      </c>
      <c r="M227" s="1">
        <v>45798</v>
      </c>
      <c r="N227" s="1">
        <v>46136</v>
      </c>
      <c r="O227" t="s">
        <v>803</v>
      </c>
    </row>
    <row r="228" spans="1:15" x14ac:dyDescent="0.3">
      <c r="A228" t="s">
        <v>804</v>
      </c>
      <c r="B228" s="3">
        <v>600000000</v>
      </c>
      <c r="C228" t="s">
        <v>16</v>
      </c>
      <c r="D228" t="s">
        <v>783</v>
      </c>
      <c r="E228" t="s">
        <v>783</v>
      </c>
      <c r="F228" t="s">
        <v>784</v>
      </c>
      <c r="G228">
        <v>6</v>
      </c>
      <c r="H228">
        <v>6</v>
      </c>
      <c r="I228">
        <v>7</v>
      </c>
      <c r="J228" t="s">
        <v>38</v>
      </c>
      <c r="K228" t="s">
        <v>20</v>
      </c>
      <c r="L228" t="s">
        <v>805</v>
      </c>
      <c r="M228" s="1">
        <v>46132</v>
      </c>
      <c r="N228" s="1">
        <v>46136</v>
      </c>
      <c r="O228" t="s">
        <v>806</v>
      </c>
    </row>
    <row r="229" spans="1:15" x14ac:dyDescent="0.3">
      <c r="A229" t="s">
        <v>807</v>
      </c>
      <c r="B229" s="3">
        <v>780000000</v>
      </c>
      <c r="C229" t="s">
        <v>16</v>
      </c>
      <c r="D229" t="s">
        <v>783</v>
      </c>
      <c r="E229" t="s">
        <v>783</v>
      </c>
      <c r="F229" t="s">
        <v>784</v>
      </c>
      <c r="G229">
        <v>3</v>
      </c>
      <c r="H229">
        <v>3</v>
      </c>
      <c r="I229">
        <v>4</v>
      </c>
      <c r="J229" t="s">
        <v>19</v>
      </c>
      <c r="K229" t="s">
        <v>20</v>
      </c>
      <c r="L229" t="s">
        <v>808</v>
      </c>
      <c r="M229" s="1">
        <v>46065</v>
      </c>
      <c r="N229" s="1">
        <v>46136</v>
      </c>
      <c r="O229" t="s">
        <v>809</v>
      </c>
    </row>
    <row r="230" spans="1:15" x14ac:dyDescent="0.3">
      <c r="A230" t="s">
        <v>810</v>
      </c>
      <c r="B230" s="3">
        <v>500000000</v>
      </c>
      <c r="C230" t="s">
        <v>16</v>
      </c>
      <c r="D230" t="s">
        <v>783</v>
      </c>
      <c r="E230" t="s">
        <v>783</v>
      </c>
      <c r="F230" t="s">
        <v>784</v>
      </c>
      <c r="G230">
        <v>5</v>
      </c>
      <c r="H230">
        <v>5</v>
      </c>
      <c r="I230">
        <v>6</v>
      </c>
      <c r="J230" t="s">
        <v>38</v>
      </c>
      <c r="K230" t="s">
        <v>20</v>
      </c>
      <c r="L230" t="s">
        <v>811</v>
      </c>
      <c r="M230" s="1">
        <v>46013</v>
      </c>
      <c r="N230" s="1">
        <v>46136</v>
      </c>
      <c r="O230" t="s">
        <v>812</v>
      </c>
    </row>
    <row r="231" spans="1:15" x14ac:dyDescent="0.3">
      <c r="A231" t="s">
        <v>813</v>
      </c>
      <c r="B231" s="3">
        <v>4500000000</v>
      </c>
      <c r="C231" t="s">
        <v>16</v>
      </c>
      <c r="D231" t="s">
        <v>783</v>
      </c>
      <c r="E231" t="s">
        <v>783</v>
      </c>
      <c r="F231" t="s">
        <v>784</v>
      </c>
      <c r="G231">
        <v>5</v>
      </c>
      <c r="H231">
        <v>5</v>
      </c>
      <c r="I231">
        <v>6</v>
      </c>
      <c r="J231" t="s">
        <v>38</v>
      </c>
      <c r="K231" t="s">
        <v>20</v>
      </c>
      <c r="L231" t="s">
        <v>814</v>
      </c>
      <c r="M231" s="1">
        <v>45947</v>
      </c>
      <c r="N231" s="1">
        <v>46136</v>
      </c>
      <c r="O231" t="s">
        <v>815</v>
      </c>
    </row>
    <row r="232" spans="1:15" x14ac:dyDescent="0.3">
      <c r="A232" t="s">
        <v>816</v>
      </c>
      <c r="B232" s="3">
        <v>1290000000</v>
      </c>
      <c r="C232" t="s">
        <v>16</v>
      </c>
      <c r="D232" t="s">
        <v>783</v>
      </c>
      <c r="E232" t="s">
        <v>783</v>
      </c>
      <c r="F232" t="s">
        <v>792</v>
      </c>
      <c r="G232">
        <v>10</v>
      </c>
      <c r="H232">
        <v>10</v>
      </c>
      <c r="I232">
        <v>10</v>
      </c>
      <c r="J232" t="s">
        <v>38</v>
      </c>
      <c r="K232" t="s">
        <v>20</v>
      </c>
      <c r="L232" t="s">
        <v>817</v>
      </c>
      <c r="M232" s="1">
        <v>46126</v>
      </c>
      <c r="N232" s="1">
        <v>46136</v>
      </c>
      <c r="O232" t="s">
        <v>818</v>
      </c>
    </row>
    <row r="233" spans="1:15" x14ac:dyDescent="0.3">
      <c r="A233" t="s">
        <v>819</v>
      </c>
      <c r="B233" s="3">
        <v>65000000</v>
      </c>
      <c r="C233" t="s">
        <v>820</v>
      </c>
      <c r="D233" t="s">
        <v>17</v>
      </c>
      <c r="E233" t="s">
        <v>17</v>
      </c>
      <c r="F233" t="s">
        <v>37</v>
      </c>
      <c r="G233">
        <v>4</v>
      </c>
      <c r="H233">
        <v>5</v>
      </c>
      <c r="I233">
        <v>5</v>
      </c>
      <c r="J233" t="s">
        <v>29</v>
      </c>
      <c r="K233" t="s">
        <v>20</v>
      </c>
      <c r="L233" t="s">
        <v>821</v>
      </c>
      <c r="M233" s="1">
        <v>46115</v>
      </c>
      <c r="N233" s="1">
        <v>46136</v>
      </c>
      <c r="O233" t="s">
        <v>822</v>
      </c>
    </row>
    <row r="234" spans="1:15" x14ac:dyDescent="0.3">
      <c r="A234" t="s">
        <v>32</v>
      </c>
      <c r="B234" s="3">
        <v>15000000</v>
      </c>
      <c r="C234" t="s">
        <v>820</v>
      </c>
      <c r="D234" t="s">
        <v>17</v>
      </c>
      <c r="E234" t="s">
        <v>17</v>
      </c>
      <c r="F234" t="s">
        <v>37</v>
      </c>
      <c r="G234">
        <v>4</v>
      </c>
      <c r="J234" t="s">
        <v>19</v>
      </c>
      <c r="K234" t="s">
        <v>20</v>
      </c>
      <c r="L234" t="s">
        <v>823</v>
      </c>
      <c r="M234" s="1">
        <v>46003</v>
      </c>
      <c r="N234" s="1">
        <v>46135</v>
      </c>
      <c r="O234" t="s">
        <v>824</v>
      </c>
    </row>
    <row r="235" spans="1:15" x14ac:dyDescent="0.3">
      <c r="A235" t="s">
        <v>133</v>
      </c>
      <c r="B235" s="3">
        <v>50000000</v>
      </c>
      <c r="C235" t="s">
        <v>820</v>
      </c>
      <c r="D235" t="s">
        <v>17</v>
      </c>
      <c r="E235" t="s">
        <v>17</v>
      </c>
      <c r="F235" t="s">
        <v>37</v>
      </c>
      <c r="G235">
        <v>4</v>
      </c>
      <c r="H235">
        <v>4</v>
      </c>
      <c r="I235">
        <v>5</v>
      </c>
      <c r="J235" t="s">
        <v>29</v>
      </c>
      <c r="K235" t="s">
        <v>20</v>
      </c>
      <c r="L235" t="s">
        <v>825</v>
      </c>
      <c r="M235" s="1">
        <v>46103</v>
      </c>
      <c r="N235" s="1">
        <v>46136</v>
      </c>
      <c r="O235" t="s">
        <v>826</v>
      </c>
    </row>
    <row r="236" spans="1:15" x14ac:dyDescent="0.3">
      <c r="A236" t="s">
        <v>827</v>
      </c>
      <c r="B236" s="3">
        <v>90000000</v>
      </c>
      <c r="C236" t="s">
        <v>820</v>
      </c>
      <c r="D236" t="s">
        <v>17</v>
      </c>
      <c r="E236" t="s">
        <v>17</v>
      </c>
      <c r="F236" t="s">
        <v>37</v>
      </c>
      <c r="G236">
        <v>5</v>
      </c>
      <c r="H236">
        <v>6</v>
      </c>
      <c r="I236">
        <v>6</v>
      </c>
      <c r="J236" t="s">
        <v>38</v>
      </c>
      <c r="K236" t="s">
        <v>20</v>
      </c>
      <c r="L236" t="s">
        <v>828</v>
      </c>
      <c r="M236" s="1">
        <v>46113</v>
      </c>
      <c r="N236" s="1">
        <v>46136</v>
      </c>
      <c r="O236" t="s">
        <v>829</v>
      </c>
    </row>
    <row r="237" spans="1:15" x14ac:dyDescent="0.3">
      <c r="A237" t="s">
        <v>144</v>
      </c>
      <c r="B237" s="3">
        <v>50000000</v>
      </c>
      <c r="C237" t="s">
        <v>820</v>
      </c>
      <c r="D237" t="s">
        <v>17</v>
      </c>
      <c r="E237" t="s">
        <v>17</v>
      </c>
      <c r="F237" t="s">
        <v>37</v>
      </c>
      <c r="G237">
        <v>4</v>
      </c>
      <c r="J237" t="s">
        <v>38</v>
      </c>
      <c r="K237" t="s">
        <v>20</v>
      </c>
      <c r="L237" t="s">
        <v>830</v>
      </c>
      <c r="M237" s="1">
        <v>46073</v>
      </c>
      <c r="N237" s="1">
        <v>46136</v>
      </c>
      <c r="O237" t="s">
        <v>831</v>
      </c>
    </row>
    <row r="238" spans="1:15" x14ac:dyDescent="0.3">
      <c r="A238" t="s">
        <v>497</v>
      </c>
      <c r="B238" s="3">
        <v>45000000</v>
      </c>
      <c r="C238" t="s">
        <v>820</v>
      </c>
      <c r="D238" t="s">
        <v>17</v>
      </c>
      <c r="E238" t="s">
        <v>17</v>
      </c>
      <c r="F238" t="s">
        <v>37</v>
      </c>
      <c r="G238">
        <v>4</v>
      </c>
      <c r="J238" t="s">
        <v>70</v>
      </c>
      <c r="K238" t="s">
        <v>20</v>
      </c>
      <c r="L238" t="s">
        <v>832</v>
      </c>
      <c r="M238" s="1">
        <v>46073</v>
      </c>
      <c r="N238" s="1">
        <v>46136</v>
      </c>
      <c r="O238" t="s">
        <v>833</v>
      </c>
    </row>
    <row r="239" spans="1:15" x14ac:dyDescent="0.3">
      <c r="A239" t="s">
        <v>804</v>
      </c>
      <c r="B239" s="3">
        <v>50000000</v>
      </c>
      <c r="C239" t="s">
        <v>820</v>
      </c>
      <c r="D239" t="s">
        <v>17</v>
      </c>
      <c r="E239" t="s">
        <v>17</v>
      </c>
      <c r="F239" t="s">
        <v>37</v>
      </c>
      <c r="G239">
        <v>6</v>
      </c>
      <c r="J239" t="s">
        <v>38</v>
      </c>
      <c r="K239" t="s">
        <v>20</v>
      </c>
      <c r="L239" t="s">
        <v>834</v>
      </c>
      <c r="M239" s="1">
        <v>46073</v>
      </c>
      <c r="N239" s="1">
        <v>46136</v>
      </c>
      <c r="O239" t="s">
        <v>835</v>
      </c>
    </row>
    <row r="240" spans="1:15" x14ac:dyDescent="0.3">
      <c r="A240" t="s">
        <v>133</v>
      </c>
      <c r="B240" s="3">
        <v>60000000</v>
      </c>
      <c r="C240" t="s">
        <v>820</v>
      </c>
      <c r="D240" t="s">
        <v>17</v>
      </c>
      <c r="E240" t="s">
        <v>17</v>
      </c>
      <c r="F240" t="s">
        <v>836</v>
      </c>
      <c r="G240">
        <v>4</v>
      </c>
      <c r="H240">
        <v>6</v>
      </c>
      <c r="I240">
        <v>6</v>
      </c>
      <c r="J240" t="s">
        <v>29</v>
      </c>
      <c r="K240" t="s">
        <v>20</v>
      </c>
      <c r="L240" t="s">
        <v>837</v>
      </c>
      <c r="M240" s="1">
        <v>46101</v>
      </c>
      <c r="N240" s="1">
        <v>46136</v>
      </c>
      <c r="O240" t="s">
        <v>838</v>
      </c>
    </row>
    <row r="241" spans="1:15" x14ac:dyDescent="0.3">
      <c r="A241" t="s">
        <v>839</v>
      </c>
      <c r="B241" s="3">
        <v>30000000</v>
      </c>
      <c r="C241" t="s">
        <v>820</v>
      </c>
      <c r="D241" t="s">
        <v>17</v>
      </c>
      <c r="E241" t="s">
        <v>17</v>
      </c>
      <c r="F241" t="s">
        <v>836</v>
      </c>
      <c r="G241">
        <v>3</v>
      </c>
      <c r="H241">
        <v>4</v>
      </c>
      <c r="I241">
        <v>4</v>
      </c>
      <c r="J241" t="s">
        <v>19</v>
      </c>
      <c r="K241" t="s">
        <v>20</v>
      </c>
      <c r="L241" t="s">
        <v>840</v>
      </c>
      <c r="M241" s="1">
        <v>46101</v>
      </c>
      <c r="N241" s="1">
        <v>46136</v>
      </c>
      <c r="O241" t="s">
        <v>841</v>
      </c>
    </row>
    <row r="242" spans="1:15" x14ac:dyDescent="0.3">
      <c r="A242" t="s">
        <v>842</v>
      </c>
      <c r="B242" s="3">
        <v>150000000</v>
      </c>
      <c r="C242" t="s">
        <v>820</v>
      </c>
      <c r="D242" t="s">
        <v>17</v>
      </c>
      <c r="E242" t="s">
        <v>17</v>
      </c>
      <c r="F242" t="s">
        <v>836</v>
      </c>
      <c r="G242">
        <v>5</v>
      </c>
      <c r="H242">
        <v>8</v>
      </c>
      <c r="I242">
        <v>8</v>
      </c>
      <c r="J242" t="s">
        <v>38</v>
      </c>
      <c r="K242" t="s">
        <v>20</v>
      </c>
      <c r="L242" t="s">
        <v>843</v>
      </c>
      <c r="M242" s="1">
        <v>46101</v>
      </c>
      <c r="N242" s="1">
        <v>46136</v>
      </c>
      <c r="O242" t="s">
        <v>844</v>
      </c>
    </row>
    <row r="243" spans="1:15" x14ac:dyDescent="0.3">
      <c r="A243" t="s">
        <v>138</v>
      </c>
      <c r="B243" s="3">
        <v>6000000</v>
      </c>
      <c r="C243" t="s">
        <v>820</v>
      </c>
      <c r="D243" t="s">
        <v>17</v>
      </c>
      <c r="E243" t="s">
        <v>17</v>
      </c>
      <c r="F243" t="s">
        <v>18</v>
      </c>
      <c r="G243">
        <v>2</v>
      </c>
      <c r="H243">
        <v>2</v>
      </c>
      <c r="J243" t="s">
        <v>19</v>
      </c>
      <c r="K243" t="s">
        <v>20</v>
      </c>
      <c r="L243" t="s">
        <v>845</v>
      </c>
      <c r="M243" s="1">
        <v>46123</v>
      </c>
      <c r="N243" s="1">
        <v>46136</v>
      </c>
      <c r="O243" t="s">
        <v>846</v>
      </c>
    </row>
    <row r="244" spans="1:15" x14ac:dyDescent="0.3">
      <c r="A244" t="s">
        <v>847</v>
      </c>
      <c r="B244" s="3">
        <v>90000000</v>
      </c>
      <c r="C244" t="s">
        <v>820</v>
      </c>
      <c r="D244" t="s">
        <v>17</v>
      </c>
      <c r="E244" t="s">
        <v>17</v>
      </c>
      <c r="F244" t="s">
        <v>18</v>
      </c>
      <c r="G244">
        <v>7</v>
      </c>
      <c r="H244">
        <v>7</v>
      </c>
      <c r="J244" t="s">
        <v>38</v>
      </c>
      <c r="K244" t="s">
        <v>20</v>
      </c>
      <c r="L244" t="s">
        <v>848</v>
      </c>
      <c r="M244" s="1">
        <v>46124</v>
      </c>
      <c r="N244" s="1">
        <v>46136</v>
      </c>
      <c r="O244" t="s">
        <v>849</v>
      </c>
    </row>
    <row r="245" spans="1:15" x14ac:dyDescent="0.3">
      <c r="A245" t="s">
        <v>850</v>
      </c>
      <c r="B245" s="3">
        <v>50000000</v>
      </c>
      <c r="C245" t="s">
        <v>820</v>
      </c>
      <c r="D245" t="s">
        <v>17</v>
      </c>
      <c r="E245" t="s">
        <v>17</v>
      </c>
      <c r="F245" t="s">
        <v>18</v>
      </c>
      <c r="G245">
        <v>4</v>
      </c>
      <c r="H245">
        <v>4</v>
      </c>
      <c r="J245" t="s">
        <v>70</v>
      </c>
      <c r="K245" t="s">
        <v>20</v>
      </c>
      <c r="L245" t="s">
        <v>851</v>
      </c>
      <c r="M245" s="1">
        <v>46122</v>
      </c>
      <c r="N245" s="1">
        <v>46136</v>
      </c>
      <c r="O245" t="s">
        <v>852</v>
      </c>
    </row>
    <row r="246" spans="1:15" x14ac:dyDescent="0.3">
      <c r="A246" t="s">
        <v>380</v>
      </c>
      <c r="B246" s="3">
        <v>35000000</v>
      </c>
      <c r="C246" t="s">
        <v>820</v>
      </c>
      <c r="D246" t="s">
        <v>17</v>
      </c>
      <c r="E246" t="s">
        <v>17</v>
      </c>
      <c r="F246" t="s">
        <v>18</v>
      </c>
      <c r="G246">
        <v>4</v>
      </c>
      <c r="H246">
        <v>4</v>
      </c>
      <c r="I246">
        <v>5</v>
      </c>
      <c r="J246" t="s">
        <v>29</v>
      </c>
      <c r="K246" t="s">
        <v>20</v>
      </c>
      <c r="L246" t="s">
        <v>853</v>
      </c>
      <c r="M246" s="1">
        <v>46117</v>
      </c>
      <c r="N246" s="1">
        <v>46136</v>
      </c>
      <c r="O246" t="s">
        <v>854</v>
      </c>
    </row>
    <row r="247" spans="1:15" x14ac:dyDescent="0.3">
      <c r="A247" t="s">
        <v>380</v>
      </c>
      <c r="B247" s="3">
        <v>75000000</v>
      </c>
      <c r="C247" t="s">
        <v>820</v>
      </c>
      <c r="D247" t="s">
        <v>17</v>
      </c>
      <c r="E247" t="s">
        <v>17</v>
      </c>
      <c r="F247" t="s">
        <v>37</v>
      </c>
      <c r="G247">
        <v>4</v>
      </c>
      <c r="H247">
        <v>4</v>
      </c>
      <c r="J247" t="s">
        <v>29</v>
      </c>
      <c r="K247" t="s">
        <v>20</v>
      </c>
      <c r="L247" t="s">
        <v>855</v>
      </c>
      <c r="M247" s="1">
        <v>45948</v>
      </c>
      <c r="N247" s="1">
        <v>46136</v>
      </c>
      <c r="O247" t="s">
        <v>856</v>
      </c>
    </row>
    <row r="248" spans="1:15" x14ac:dyDescent="0.3">
      <c r="A248" t="s">
        <v>352</v>
      </c>
      <c r="B248" s="3">
        <v>25000000</v>
      </c>
      <c r="C248" t="s">
        <v>820</v>
      </c>
      <c r="D248" t="s">
        <v>17</v>
      </c>
      <c r="E248" t="s">
        <v>17</v>
      </c>
      <c r="F248" t="s">
        <v>37</v>
      </c>
      <c r="G248">
        <v>4</v>
      </c>
      <c r="H248">
        <v>4</v>
      </c>
      <c r="J248" t="s">
        <v>38</v>
      </c>
      <c r="K248" t="s">
        <v>20</v>
      </c>
      <c r="L248" t="s">
        <v>857</v>
      </c>
      <c r="M248" s="1">
        <v>46048</v>
      </c>
      <c r="N248" s="1">
        <v>46136</v>
      </c>
      <c r="O248" t="s">
        <v>858</v>
      </c>
    </row>
    <row r="249" spans="1:15" x14ac:dyDescent="0.3">
      <c r="A249" t="s">
        <v>859</v>
      </c>
      <c r="B249" s="3">
        <v>80000000</v>
      </c>
      <c r="C249" t="s">
        <v>820</v>
      </c>
      <c r="D249" t="s">
        <v>17</v>
      </c>
      <c r="E249" t="s">
        <v>17</v>
      </c>
      <c r="F249" t="s">
        <v>37</v>
      </c>
      <c r="G249">
        <v>6</v>
      </c>
      <c r="H249">
        <v>6</v>
      </c>
      <c r="J249" t="s">
        <v>38</v>
      </c>
      <c r="K249" t="s">
        <v>20</v>
      </c>
      <c r="L249" t="s">
        <v>860</v>
      </c>
      <c r="M249" s="1">
        <v>46097</v>
      </c>
      <c r="N249" s="1">
        <v>46136</v>
      </c>
      <c r="O249" t="s">
        <v>861</v>
      </c>
    </row>
    <row r="250" spans="1:15" x14ac:dyDescent="0.3">
      <c r="A250" t="s">
        <v>862</v>
      </c>
      <c r="B250" s="3">
        <v>45000000</v>
      </c>
      <c r="C250" t="s">
        <v>820</v>
      </c>
      <c r="D250" t="s">
        <v>17</v>
      </c>
      <c r="E250" t="s">
        <v>17</v>
      </c>
      <c r="F250" t="s">
        <v>37</v>
      </c>
      <c r="G250">
        <v>5</v>
      </c>
      <c r="H250">
        <v>5</v>
      </c>
      <c r="J250" t="s">
        <v>29</v>
      </c>
      <c r="K250" t="s">
        <v>20</v>
      </c>
      <c r="L250" t="s">
        <v>863</v>
      </c>
      <c r="M250" s="1">
        <v>46097</v>
      </c>
      <c r="N250" s="1">
        <v>46136</v>
      </c>
      <c r="O250" t="s">
        <v>864</v>
      </c>
    </row>
    <row r="251" spans="1:15" x14ac:dyDescent="0.3">
      <c r="A251" t="s">
        <v>865</v>
      </c>
      <c r="B251" s="3">
        <v>20000000</v>
      </c>
      <c r="C251" t="s">
        <v>820</v>
      </c>
      <c r="D251" t="s">
        <v>42</v>
      </c>
      <c r="E251" t="s">
        <v>42</v>
      </c>
      <c r="F251" t="s">
        <v>56</v>
      </c>
      <c r="G251">
        <v>5</v>
      </c>
      <c r="H251">
        <v>5</v>
      </c>
      <c r="J251" t="s">
        <v>70</v>
      </c>
      <c r="K251" t="s">
        <v>20</v>
      </c>
      <c r="L251" t="s">
        <v>866</v>
      </c>
      <c r="M251" s="1">
        <v>46111</v>
      </c>
      <c r="N251" s="1">
        <v>46136</v>
      </c>
      <c r="O251" t="s">
        <v>867</v>
      </c>
    </row>
    <row r="252" spans="1:15" x14ac:dyDescent="0.3">
      <c r="A252" t="s">
        <v>868</v>
      </c>
      <c r="B252" s="3">
        <v>10000000</v>
      </c>
      <c r="C252" t="s">
        <v>820</v>
      </c>
      <c r="D252" t="s">
        <v>42</v>
      </c>
      <c r="E252" t="s">
        <v>42</v>
      </c>
      <c r="F252" t="s">
        <v>869</v>
      </c>
      <c r="G252">
        <v>2</v>
      </c>
      <c r="H252">
        <v>3</v>
      </c>
      <c r="I252">
        <v>3</v>
      </c>
      <c r="J252" t="s">
        <v>193</v>
      </c>
      <c r="K252" t="s">
        <v>20</v>
      </c>
      <c r="L252" t="s">
        <v>870</v>
      </c>
      <c r="M252" s="1">
        <v>46131</v>
      </c>
      <c r="N252" s="1">
        <v>46136</v>
      </c>
      <c r="O252" t="s">
        <v>871</v>
      </c>
    </row>
    <row r="253" spans="1:15" x14ac:dyDescent="0.3">
      <c r="A253" t="s">
        <v>872</v>
      </c>
      <c r="B253" s="3">
        <v>15000000</v>
      </c>
      <c r="C253" t="s">
        <v>820</v>
      </c>
      <c r="D253" t="s">
        <v>42</v>
      </c>
      <c r="E253" t="s">
        <v>42</v>
      </c>
      <c r="F253" t="s">
        <v>869</v>
      </c>
      <c r="G253">
        <v>2</v>
      </c>
      <c r="H253">
        <v>3</v>
      </c>
      <c r="I253">
        <v>3</v>
      </c>
      <c r="J253" t="s">
        <v>19</v>
      </c>
      <c r="K253" t="s">
        <v>20</v>
      </c>
      <c r="L253" t="s">
        <v>873</v>
      </c>
      <c r="M253" s="1">
        <v>46131</v>
      </c>
      <c r="N253" s="1">
        <v>46136</v>
      </c>
      <c r="O253" t="s">
        <v>874</v>
      </c>
    </row>
    <row r="254" spans="1:15" x14ac:dyDescent="0.3">
      <c r="A254" t="s">
        <v>156</v>
      </c>
      <c r="B254" s="3">
        <v>20000000</v>
      </c>
      <c r="C254" t="s">
        <v>820</v>
      </c>
      <c r="D254" t="s">
        <v>42</v>
      </c>
      <c r="E254" t="s">
        <v>42</v>
      </c>
      <c r="F254" t="s">
        <v>875</v>
      </c>
      <c r="G254">
        <v>5</v>
      </c>
      <c r="H254">
        <v>6</v>
      </c>
      <c r="I254">
        <v>7</v>
      </c>
      <c r="J254" t="s">
        <v>29</v>
      </c>
      <c r="K254" t="s">
        <v>20</v>
      </c>
      <c r="L254" t="s">
        <v>876</v>
      </c>
      <c r="M254" s="1">
        <v>46108</v>
      </c>
      <c r="N254" s="1">
        <v>46136</v>
      </c>
      <c r="O254" t="s">
        <v>877</v>
      </c>
    </row>
    <row r="255" spans="1:15" x14ac:dyDescent="0.3">
      <c r="A255" t="s">
        <v>878</v>
      </c>
      <c r="B255" s="3">
        <v>20000000</v>
      </c>
      <c r="C255" t="s">
        <v>820</v>
      </c>
      <c r="D255" t="s">
        <v>84</v>
      </c>
      <c r="E255" t="s">
        <v>85</v>
      </c>
      <c r="F255" t="s">
        <v>90</v>
      </c>
      <c r="G255">
        <v>3</v>
      </c>
      <c r="H255">
        <v>3</v>
      </c>
      <c r="I255">
        <v>4</v>
      </c>
      <c r="J255" t="s">
        <v>19</v>
      </c>
      <c r="K255" t="s">
        <v>20</v>
      </c>
      <c r="L255" t="s">
        <v>879</v>
      </c>
      <c r="M255" s="1">
        <v>46134</v>
      </c>
      <c r="N255" s="1">
        <v>46136</v>
      </c>
      <c r="O255" t="s">
        <v>880</v>
      </c>
    </row>
    <row r="256" spans="1:15" x14ac:dyDescent="0.3">
      <c r="A256" t="s">
        <v>881</v>
      </c>
      <c r="B256" s="3">
        <v>55000000</v>
      </c>
      <c r="C256" t="s">
        <v>820</v>
      </c>
      <c r="D256" t="s">
        <v>84</v>
      </c>
      <c r="E256" t="s">
        <v>85</v>
      </c>
      <c r="F256" t="s">
        <v>882</v>
      </c>
      <c r="G256">
        <v>5</v>
      </c>
      <c r="H256">
        <v>5</v>
      </c>
      <c r="I256">
        <v>5</v>
      </c>
      <c r="J256" t="s">
        <v>38</v>
      </c>
      <c r="K256" t="s">
        <v>20</v>
      </c>
      <c r="L256" t="s">
        <v>883</v>
      </c>
      <c r="M256" s="1">
        <v>46091</v>
      </c>
      <c r="N256" s="1">
        <v>46136</v>
      </c>
      <c r="O256" t="s">
        <v>884</v>
      </c>
    </row>
    <row r="257" spans="1:15" x14ac:dyDescent="0.3">
      <c r="A257" t="s">
        <v>885</v>
      </c>
      <c r="B257" s="3">
        <v>13000000</v>
      </c>
      <c r="C257" t="s">
        <v>820</v>
      </c>
      <c r="D257" t="s">
        <v>84</v>
      </c>
      <c r="E257" t="s">
        <v>85</v>
      </c>
      <c r="F257" t="s">
        <v>90</v>
      </c>
      <c r="G257">
        <v>3</v>
      </c>
      <c r="H257">
        <v>3</v>
      </c>
      <c r="I257">
        <v>4</v>
      </c>
      <c r="J257" t="s">
        <v>19</v>
      </c>
      <c r="K257" t="s">
        <v>20</v>
      </c>
      <c r="L257" t="s">
        <v>886</v>
      </c>
      <c r="M257" s="1">
        <v>46102</v>
      </c>
      <c r="N257" s="1">
        <v>46136</v>
      </c>
      <c r="O257" t="s">
        <v>887</v>
      </c>
    </row>
    <row r="258" spans="1:15" x14ac:dyDescent="0.3">
      <c r="A258" t="s">
        <v>888</v>
      </c>
      <c r="B258" s="3">
        <v>45000000</v>
      </c>
      <c r="C258" t="s">
        <v>820</v>
      </c>
      <c r="D258" t="s">
        <v>84</v>
      </c>
      <c r="E258" t="s">
        <v>85</v>
      </c>
      <c r="F258" t="s">
        <v>889</v>
      </c>
      <c r="G258">
        <v>6</v>
      </c>
      <c r="H258">
        <v>6</v>
      </c>
      <c r="I258">
        <v>7</v>
      </c>
      <c r="J258" t="s">
        <v>38</v>
      </c>
      <c r="K258" t="s">
        <v>20</v>
      </c>
      <c r="L258" t="s">
        <v>890</v>
      </c>
      <c r="M258" s="1">
        <v>46101</v>
      </c>
      <c r="N258" s="1">
        <v>46136</v>
      </c>
      <c r="O258" t="s">
        <v>891</v>
      </c>
    </row>
    <row r="259" spans="1:15" x14ac:dyDescent="0.3">
      <c r="A259" t="s">
        <v>199</v>
      </c>
      <c r="B259" s="3">
        <v>15000000</v>
      </c>
      <c r="C259" t="s">
        <v>820</v>
      </c>
      <c r="D259" t="s">
        <v>84</v>
      </c>
      <c r="E259" t="s">
        <v>85</v>
      </c>
      <c r="F259" t="s">
        <v>892</v>
      </c>
      <c r="G259">
        <v>3</v>
      </c>
      <c r="H259">
        <v>4</v>
      </c>
      <c r="I259">
        <v>4</v>
      </c>
      <c r="J259" t="s">
        <v>19</v>
      </c>
      <c r="K259" t="s">
        <v>20</v>
      </c>
      <c r="L259" t="s">
        <v>893</v>
      </c>
      <c r="M259" s="1">
        <v>46099</v>
      </c>
      <c r="N259" s="1">
        <v>46136</v>
      </c>
      <c r="O259" t="s">
        <v>894</v>
      </c>
    </row>
    <row r="260" spans="1:15" x14ac:dyDescent="0.3">
      <c r="A260" t="s">
        <v>895</v>
      </c>
      <c r="B260" s="3">
        <v>250000000</v>
      </c>
      <c r="C260" t="s">
        <v>820</v>
      </c>
      <c r="D260" t="s">
        <v>84</v>
      </c>
      <c r="E260" t="s">
        <v>85</v>
      </c>
      <c r="F260" t="s">
        <v>892</v>
      </c>
      <c r="G260">
        <v>10</v>
      </c>
      <c r="H260">
        <v>10</v>
      </c>
      <c r="I260">
        <v>10</v>
      </c>
      <c r="J260" t="s">
        <v>193</v>
      </c>
      <c r="K260" t="s">
        <v>20</v>
      </c>
      <c r="L260" t="s">
        <v>896</v>
      </c>
      <c r="M260" s="1">
        <v>46099</v>
      </c>
      <c r="N260" s="1">
        <v>46136</v>
      </c>
      <c r="O260" t="s">
        <v>897</v>
      </c>
    </row>
    <row r="261" spans="1:15" x14ac:dyDescent="0.3">
      <c r="A261" t="s">
        <v>898</v>
      </c>
      <c r="B261" s="3">
        <v>35000000</v>
      </c>
      <c r="C261" t="s">
        <v>820</v>
      </c>
      <c r="D261" t="s">
        <v>84</v>
      </c>
      <c r="E261" t="s">
        <v>85</v>
      </c>
      <c r="F261" t="s">
        <v>90</v>
      </c>
      <c r="G261">
        <v>3</v>
      </c>
      <c r="H261">
        <v>4</v>
      </c>
      <c r="I261">
        <v>4</v>
      </c>
      <c r="J261" t="s">
        <v>19</v>
      </c>
      <c r="K261" t="s">
        <v>20</v>
      </c>
      <c r="L261" t="s">
        <v>899</v>
      </c>
      <c r="M261" s="1">
        <v>46104</v>
      </c>
      <c r="N261" s="1">
        <v>46136</v>
      </c>
      <c r="O261" t="s">
        <v>900</v>
      </c>
    </row>
    <row r="262" spans="1:15" x14ac:dyDescent="0.3">
      <c r="A262" t="s">
        <v>497</v>
      </c>
      <c r="B262" s="3">
        <v>25000000</v>
      </c>
      <c r="C262" t="s">
        <v>820</v>
      </c>
      <c r="D262" t="s">
        <v>84</v>
      </c>
      <c r="E262" t="s">
        <v>85</v>
      </c>
      <c r="F262" t="s">
        <v>90</v>
      </c>
      <c r="G262">
        <v>4</v>
      </c>
      <c r="H262">
        <v>4</v>
      </c>
      <c r="I262">
        <v>5</v>
      </c>
      <c r="J262" t="s">
        <v>70</v>
      </c>
      <c r="K262" t="s">
        <v>20</v>
      </c>
      <c r="L262" t="s">
        <v>901</v>
      </c>
      <c r="M262" s="1">
        <v>46094</v>
      </c>
      <c r="N262" s="1">
        <v>46136</v>
      </c>
      <c r="O262" t="s">
        <v>902</v>
      </c>
    </row>
    <row r="263" spans="1:15" x14ac:dyDescent="0.3">
      <c r="A263" t="s">
        <v>903</v>
      </c>
      <c r="B263" s="3">
        <v>12000000</v>
      </c>
      <c r="C263" t="s">
        <v>820</v>
      </c>
      <c r="D263" t="s">
        <v>84</v>
      </c>
      <c r="E263" t="s">
        <v>85</v>
      </c>
      <c r="F263" t="s">
        <v>904</v>
      </c>
      <c r="G263">
        <v>3</v>
      </c>
      <c r="H263">
        <v>3</v>
      </c>
      <c r="J263" t="s">
        <v>19</v>
      </c>
      <c r="K263" t="s">
        <v>20</v>
      </c>
      <c r="L263" t="s">
        <v>905</v>
      </c>
      <c r="M263" s="1">
        <v>46136</v>
      </c>
      <c r="N263" s="1">
        <v>46136</v>
      </c>
      <c r="O263" t="s">
        <v>906</v>
      </c>
    </row>
    <row r="264" spans="1:15" x14ac:dyDescent="0.3">
      <c r="A264" t="s">
        <v>907</v>
      </c>
      <c r="B264" s="3">
        <v>25000000</v>
      </c>
      <c r="C264" t="s">
        <v>820</v>
      </c>
      <c r="D264" t="s">
        <v>84</v>
      </c>
      <c r="E264" t="s">
        <v>85</v>
      </c>
      <c r="F264" t="s">
        <v>904</v>
      </c>
      <c r="G264">
        <v>3</v>
      </c>
      <c r="H264">
        <v>3</v>
      </c>
      <c r="J264" t="s">
        <v>29</v>
      </c>
      <c r="K264" t="s">
        <v>20</v>
      </c>
      <c r="L264" t="s">
        <v>908</v>
      </c>
      <c r="M264" s="1">
        <v>46134</v>
      </c>
      <c r="N264" s="1">
        <v>46136</v>
      </c>
      <c r="O264" t="s">
        <v>909</v>
      </c>
    </row>
    <row r="265" spans="1:15" x14ac:dyDescent="0.3">
      <c r="A265" t="s">
        <v>138</v>
      </c>
      <c r="B265" s="3">
        <v>5000000</v>
      </c>
      <c r="C265" t="s">
        <v>820</v>
      </c>
      <c r="D265" t="s">
        <v>84</v>
      </c>
      <c r="E265" t="s">
        <v>85</v>
      </c>
      <c r="F265" t="s">
        <v>904</v>
      </c>
      <c r="G265">
        <v>2</v>
      </c>
      <c r="H265">
        <v>2</v>
      </c>
      <c r="J265" t="s">
        <v>19</v>
      </c>
      <c r="K265" t="s">
        <v>20</v>
      </c>
      <c r="L265" t="s">
        <v>910</v>
      </c>
      <c r="M265" s="1">
        <v>46127</v>
      </c>
      <c r="N265" s="1">
        <v>46136</v>
      </c>
      <c r="O265" t="s">
        <v>911</v>
      </c>
    </row>
    <row r="266" spans="1:15" x14ac:dyDescent="0.3">
      <c r="A266" t="s">
        <v>912</v>
      </c>
      <c r="B266" s="3">
        <v>4000000</v>
      </c>
      <c r="C266" t="s">
        <v>820</v>
      </c>
      <c r="D266" t="s">
        <v>84</v>
      </c>
      <c r="E266" t="s">
        <v>85</v>
      </c>
      <c r="F266" t="s">
        <v>904</v>
      </c>
      <c r="G266">
        <v>1</v>
      </c>
      <c r="H266">
        <v>1</v>
      </c>
      <c r="J266" t="s">
        <v>19</v>
      </c>
      <c r="K266" t="s">
        <v>20</v>
      </c>
      <c r="L266" t="s">
        <v>913</v>
      </c>
      <c r="M266" s="1">
        <v>46136</v>
      </c>
      <c r="N266" s="1">
        <v>46136</v>
      </c>
      <c r="O266" t="s">
        <v>914</v>
      </c>
    </row>
    <row r="267" spans="1:15" x14ac:dyDescent="0.3">
      <c r="A267" t="s">
        <v>915</v>
      </c>
      <c r="B267" s="3">
        <v>25000000</v>
      </c>
      <c r="C267" t="s">
        <v>820</v>
      </c>
      <c r="D267" t="s">
        <v>84</v>
      </c>
      <c r="E267" t="s">
        <v>85</v>
      </c>
      <c r="F267" t="s">
        <v>90</v>
      </c>
      <c r="G267">
        <v>5</v>
      </c>
      <c r="H267">
        <v>5</v>
      </c>
      <c r="I267">
        <v>5</v>
      </c>
      <c r="J267" t="s">
        <v>29</v>
      </c>
      <c r="K267" t="s">
        <v>20</v>
      </c>
      <c r="L267" t="s">
        <v>916</v>
      </c>
      <c r="M267" s="1">
        <v>46101</v>
      </c>
      <c r="N267" s="1">
        <v>46136</v>
      </c>
      <c r="O267" t="s">
        <v>917</v>
      </c>
    </row>
    <row r="268" spans="1:15" x14ac:dyDescent="0.3">
      <c r="A268" t="s">
        <v>918</v>
      </c>
      <c r="B268" s="3">
        <v>13000000</v>
      </c>
      <c r="C268" t="s">
        <v>820</v>
      </c>
      <c r="D268" t="s">
        <v>84</v>
      </c>
      <c r="E268" t="s">
        <v>85</v>
      </c>
      <c r="F268" t="s">
        <v>90</v>
      </c>
      <c r="G268">
        <v>2</v>
      </c>
      <c r="H268">
        <v>2</v>
      </c>
      <c r="I268">
        <v>3</v>
      </c>
      <c r="J268" t="s">
        <v>19</v>
      </c>
      <c r="K268" t="s">
        <v>20</v>
      </c>
      <c r="L268" t="s">
        <v>919</v>
      </c>
      <c r="M268" s="1">
        <v>46128</v>
      </c>
      <c r="N268" s="1">
        <v>46136</v>
      </c>
      <c r="O268" t="s">
        <v>920</v>
      </c>
    </row>
    <row r="269" spans="1:15" x14ac:dyDescent="0.3">
      <c r="A269" t="s">
        <v>921</v>
      </c>
      <c r="B269" s="3">
        <v>25000000</v>
      </c>
      <c r="C269" t="s">
        <v>820</v>
      </c>
      <c r="D269" t="s">
        <v>84</v>
      </c>
      <c r="E269" t="s">
        <v>85</v>
      </c>
      <c r="F269" t="s">
        <v>922</v>
      </c>
      <c r="G269">
        <v>4</v>
      </c>
      <c r="H269">
        <v>5</v>
      </c>
      <c r="I269">
        <v>5</v>
      </c>
      <c r="J269" t="s">
        <v>38</v>
      </c>
      <c r="K269" t="s">
        <v>20</v>
      </c>
      <c r="L269" t="s">
        <v>923</v>
      </c>
      <c r="M269" s="1">
        <v>46031</v>
      </c>
      <c r="N269" s="1">
        <v>46136</v>
      </c>
      <c r="O269" t="s">
        <v>924</v>
      </c>
    </row>
    <row r="270" spans="1:15" x14ac:dyDescent="0.3">
      <c r="A270" t="s">
        <v>925</v>
      </c>
      <c r="B270" s="3">
        <v>30000000</v>
      </c>
      <c r="C270" t="s">
        <v>820</v>
      </c>
      <c r="D270" t="s">
        <v>134</v>
      </c>
      <c r="E270" t="s">
        <v>134</v>
      </c>
      <c r="F270" t="s">
        <v>926</v>
      </c>
      <c r="G270">
        <v>6</v>
      </c>
      <c r="H270">
        <v>6</v>
      </c>
      <c r="I270">
        <v>7</v>
      </c>
      <c r="J270" t="s">
        <v>38</v>
      </c>
      <c r="K270" t="s">
        <v>20</v>
      </c>
      <c r="L270" t="s">
        <v>927</v>
      </c>
      <c r="M270" s="1">
        <v>46139</v>
      </c>
      <c r="N270" s="1">
        <v>46139</v>
      </c>
      <c r="O270" t="s">
        <v>928</v>
      </c>
    </row>
    <row r="271" spans="1:15" x14ac:dyDescent="0.3">
      <c r="A271" t="s">
        <v>929</v>
      </c>
      <c r="B271" s="3">
        <v>4000000</v>
      </c>
      <c r="C271" t="s">
        <v>820</v>
      </c>
      <c r="D271" t="s">
        <v>134</v>
      </c>
      <c r="E271" t="s">
        <v>134</v>
      </c>
      <c r="F271" t="s">
        <v>930</v>
      </c>
      <c r="G271">
        <v>2</v>
      </c>
      <c r="H271">
        <v>2</v>
      </c>
      <c r="I271">
        <v>3</v>
      </c>
      <c r="J271" t="s">
        <v>19</v>
      </c>
      <c r="K271" t="s">
        <v>20</v>
      </c>
      <c r="L271" t="s">
        <v>931</v>
      </c>
      <c r="M271" s="1">
        <v>46137</v>
      </c>
      <c r="N271" s="1">
        <v>46137</v>
      </c>
      <c r="O271" t="s">
        <v>932</v>
      </c>
    </row>
    <row r="272" spans="1:15" x14ac:dyDescent="0.3">
      <c r="A272" t="s">
        <v>77</v>
      </c>
      <c r="B272" s="3">
        <v>12000000</v>
      </c>
      <c r="C272" t="s">
        <v>820</v>
      </c>
      <c r="D272" t="s">
        <v>134</v>
      </c>
      <c r="E272" t="s">
        <v>134</v>
      </c>
      <c r="F272" t="s">
        <v>135</v>
      </c>
      <c r="G272">
        <v>4</v>
      </c>
      <c r="H272">
        <v>4</v>
      </c>
      <c r="I272">
        <v>5</v>
      </c>
      <c r="J272" t="s">
        <v>29</v>
      </c>
      <c r="K272" t="s">
        <v>20</v>
      </c>
      <c r="L272" t="s">
        <v>933</v>
      </c>
      <c r="M272" s="1">
        <v>46059</v>
      </c>
      <c r="N272" s="1">
        <v>46136</v>
      </c>
      <c r="O272" t="s">
        <v>934</v>
      </c>
    </row>
    <row r="273" spans="1:15" x14ac:dyDescent="0.3">
      <c r="A273" t="s">
        <v>903</v>
      </c>
      <c r="B273" s="3">
        <v>7000000</v>
      </c>
      <c r="C273" t="s">
        <v>820</v>
      </c>
      <c r="D273" t="s">
        <v>134</v>
      </c>
      <c r="E273" t="s">
        <v>134</v>
      </c>
      <c r="F273" t="s">
        <v>176</v>
      </c>
      <c r="G273">
        <v>3</v>
      </c>
      <c r="H273">
        <v>3</v>
      </c>
      <c r="I273">
        <v>4</v>
      </c>
      <c r="J273" t="s">
        <v>19</v>
      </c>
      <c r="K273" t="s">
        <v>20</v>
      </c>
      <c r="L273" t="s">
        <v>935</v>
      </c>
      <c r="M273" s="1">
        <v>46133</v>
      </c>
      <c r="N273" s="1">
        <v>46136</v>
      </c>
      <c r="O273" t="s">
        <v>936</v>
      </c>
    </row>
    <row r="274" spans="1:15" x14ac:dyDescent="0.3">
      <c r="A274" t="s">
        <v>937</v>
      </c>
      <c r="B274" s="3">
        <v>15000000</v>
      </c>
      <c r="C274" t="s">
        <v>820</v>
      </c>
      <c r="D274" t="s">
        <v>134</v>
      </c>
      <c r="E274" t="s">
        <v>134</v>
      </c>
      <c r="F274" t="s">
        <v>938</v>
      </c>
      <c r="G274">
        <v>5</v>
      </c>
      <c r="H274">
        <v>5</v>
      </c>
      <c r="I274">
        <v>6</v>
      </c>
      <c r="J274" t="s">
        <v>70</v>
      </c>
      <c r="K274" t="s">
        <v>20</v>
      </c>
      <c r="L274" t="s">
        <v>939</v>
      </c>
      <c r="M274" s="1">
        <v>46121</v>
      </c>
      <c r="N274" s="1">
        <v>46136</v>
      </c>
      <c r="O274" t="s">
        <v>940</v>
      </c>
    </row>
    <row r="275" spans="1:15" x14ac:dyDescent="0.3">
      <c r="A275" t="s">
        <v>941</v>
      </c>
      <c r="B275" s="3">
        <v>6000000</v>
      </c>
      <c r="C275" t="s">
        <v>820</v>
      </c>
      <c r="D275" t="s">
        <v>134</v>
      </c>
      <c r="E275" t="s">
        <v>134</v>
      </c>
      <c r="F275" t="s">
        <v>942</v>
      </c>
      <c r="G275">
        <v>4</v>
      </c>
      <c r="H275">
        <v>5</v>
      </c>
      <c r="I275">
        <v>5</v>
      </c>
      <c r="J275" t="s">
        <v>38</v>
      </c>
      <c r="K275" t="s">
        <v>20</v>
      </c>
      <c r="L275" t="s">
        <v>943</v>
      </c>
      <c r="M275" s="1">
        <v>46128</v>
      </c>
      <c r="N275" s="1">
        <v>46136</v>
      </c>
      <c r="O275" t="s">
        <v>944</v>
      </c>
    </row>
    <row r="276" spans="1:15" x14ac:dyDescent="0.3">
      <c r="A276" t="s">
        <v>945</v>
      </c>
      <c r="B276" s="3">
        <v>5000000</v>
      </c>
      <c r="C276" t="s">
        <v>820</v>
      </c>
      <c r="D276" t="s">
        <v>134</v>
      </c>
      <c r="E276" t="s">
        <v>134</v>
      </c>
      <c r="F276" t="s">
        <v>946</v>
      </c>
      <c r="G276">
        <v>3</v>
      </c>
      <c r="H276">
        <v>4</v>
      </c>
      <c r="I276">
        <v>4</v>
      </c>
      <c r="J276" t="s">
        <v>19</v>
      </c>
      <c r="K276" t="s">
        <v>20</v>
      </c>
      <c r="L276" t="s">
        <v>947</v>
      </c>
      <c r="M276" s="1">
        <v>46097</v>
      </c>
      <c r="N276" s="1">
        <v>46136</v>
      </c>
      <c r="O276" t="s">
        <v>948</v>
      </c>
    </row>
    <row r="277" spans="1:15" x14ac:dyDescent="0.3">
      <c r="A277" t="s">
        <v>949</v>
      </c>
      <c r="B277" s="3">
        <v>3500000</v>
      </c>
      <c r="C277" t="s">
        <v>820</v>
      </c>
      <c r="D277" t="s">
        <v>134</v>
      </c>
      <c r="E277" t="s">
        <v>134</v>
      </c>
      <c r="F277" t="s">
        <v>950</v>
      </c>
      <c r="G277">
        <v>2</v>
      </c>
      <c r="H277">
        <v>3</v>
      </c>
      <c r="I277">
        <v>3</v>
      </c>
      <c r="J277" t="s">
        <v>19</v>
      </c>
      <c r="K277" t="s">
        <v>20</v>
      </c>
      <c r="L277" t="s">
        <v>951</v>
      </c>
      <c r="M277" s="1">
        <v>46098</v>
      </c>
      <c r="N277" s="1">
        <v>46136</v>
      </c>
      <c r="O277" t="s">
        <v>952</v>
      </c>
    </row>
    <row r="278" spans="1:15" x14ac:dyDescent="0.3">
      <c r="A278" t="s">
        <v>641</v>
      </c>
      <c r="B278" s="3">
        <v>7000000</v>
      </c>
      <c r="C278" t="s">
        <v>820</v>
      </c>
      <c r="D278" t="s">
        <v>134</v>
      </c>
      <c r="E278" t="s">
        <v>134</v>
      </c>
      <c r="F278" t="s">
        <v>164</v>
      </c>
      <c r="G278">
        <v>3</v>
      </c>
      <c r="H278">
        <v>4</v>
      </c>
      <c r="I278">
        <v>4</v>
      </c>
      <c r="J278" t="s">
        <v>29</v>
      </c>
      <c r="K278" t="s">
        <v>20</v>
      </c>
      <c r="L278" t="s">
        <v>953</v>
      </c>
      <c r="M278" s="1">
        <v>46094</v>
      </c>
      <c r="N278" s="1">
        <v>46136</v>
      </c>
      <c r="O278" t="s">
        <v>954</v>
      </c>
    </row>
    <row r="279" spans="1:15" x14ac:dyDescent="0.3">
      <c r="A279" t="s">
        <v>199</v>
      </c>
      <c r="B279" s="3">
        <v>10000000</v>
      </c>
      <c r="C279" t="s">
        <v>820</v>
      </c>
      <c r="D279" t="s">
        <v>134</v>
      </c>
      <c r="E279" t="s">
        <v>134</v>
      </c>
      <c r="F279" t="s">
        <v>955</v>
      </c>
      <c r="G279">
        <v>3</v>
      </c>
      <c r="H279">
        <v>4</v>
      </c>
      <c r="I279">
        <v>4</v>
      </c>
      <c r="J279" t="s">
        <v>19</v>
      </c>
      <c r="K279" t="s">
        <v>20</v>
      </c>
      <c r="L279" t="s">
        <v>956</v>
      </c>
      <c r="M279" s="1">
        <v>46105</v>
      </c>
      <c r="N279" s="1">
        <v>46136</v>
      </c>
      <c r="O279" t="s">
        <v>957</v>
      </c>
    </row>
    <row r="280" spans="1:15" x14ac:dyDescent="0.3">
      <c r="A280" t="s">
        <v>912</v>
      </c>
      <c r="B280" s="3">
        <v>2500000</v>
      </c>
      <c r="C280" t="s">
        <v>820</v>
      </c>
      <c r="D280" t="s">
        <v>134</v>
      </c>
      <c r="E280" t="s">
        <v>134</v>
      </c>
      <c r="F280" t="s">
        <v>958</v>
      </c>
      <c r="G280">
        <v>1</v>
      </c>
      <c r="H280">
        <v>1</v>
      </c>
      <c r="J280" t="s">
        <v>19</v>
      </c>
      <c r="K280" t="s">
        <v>20</v>
      </c>
      <c r="L280" t="s">
        <v>959</v>
      </c>
      <c r="M280" s="1">
        <v>46124</v>
      </c>
      <c r="N280" s="1">
        <v>46136</v>
      </c>
      <c r="O280" t="s">
        <v>960</v>
      </c>
    </row>
    <row r="281" spans="1:15" x14ac:dyDescent="0.3">
      <c r="A281" t="s">
        <v>912</v>
      </c>
      <c r="B281" s="3">
        <v>3000000</v>
      </c>
      <c r="C281" t="s">
        <v>820</v>
      </c>
      <c r="D281" t="s">
        <v>134</v>
      </c>
      <c r="E281" t="s">
        <v>134</v>
      </c>
      <c r="F281" t="s">
        <v>958</v>
      </c>
      <c r="G281">
        <v>1</v>
      </c>
      <c r="H281">
        <v>1</v>
      </c>
      <c r="J281" t="s">
        <v>19</v>
      </c>
      <c r="K281" t="s">
        <v>20</v>
      </c>
      <c r="L281" t="s">
        <v>961</v>
      </c>
      <c r="M281" s="1">
        <v>46134</v>
      </c>
      <c r="N281" s="1">
        <v>46136</v>
      </c>
      <c r="O281" t="s">
        <v>962</v>
      </c>
    </row>
    <row r="282" spans="1:15" x14ac:dyDescent="0.3">
      <c r="A282" t="s">
        <v>963</v>
      </c>
      <c r="B282" s="3">
        <v>2500000</v>
      </c>
      <c r="C282" t="s">
        <v>820</v>
      </c>
      <c r="D282" t="s">
        <v>134</v>
      </c>
      <c r="E282" t="s">
        <v>134</v>
      </c>
      <c r="F282" t="s">
        <v>958</v>
      </c>
      <c r="G282">
        <v>1</v>
      </c>
      <c r="H282">
        <v>1</v>
      </c>
      <c r="J282" t="s">
        <v>19</v>
      </c>
      <c r="K282" t="s">
        <v>20</v>
      </c>
      <c r="L282" t="s">
        <v>964</v>
      </c>
      <c r="M282" s="1">
        <v>46132</v>
      </c>
      <c r="N282" s="1">
        <v>46136</v>
      </c>
      <c r="O282" t="s">
        <v>965</v>
      </c>
    </row>
    <row r="283" spans="1:15" x14ac:dyDescent="0.3">
      <c r="A283" t="s">
        <v>966</v>
      </c>
      <c r="B283" s="3">
        <v>6000000</v>
      </c>
      <c r="C283" t="s">
        <v>820</v>
      </c>
      <c r="D283" t="s">
        <v>200</v>
      </c>
      <c r="E283" t="s">
        <v>200</v>
      </c>
      <c r="F283" t="s">
        <v>967</v>
      </c>
      <c r="G283">
        <v>2</v>
      </c>
      <c r="H283">
        <v>2</v>
      </c>
      <c r="I283">
        <v>3</v>
      </c>
      <c r="J283" t="s">
        <v>19</v>
      </c>
      <c r="K283" t="s">
        <v>20</v>
      </c>
      <c r="L283" t="s">
        <v>968</v>
      </c>
      <c r="M283" s="1">
        <v>46084</v>
      </c>
      <c r="N283" s="1">
        <v>46136</v>
      </c>
      <c r="O283" t="s">
        <v>969</v>
      </c>
    </row>
    <row r="284" spans="1:15" x14ac:dyDescent="0.3">
      <c r="A284" t="s">
        <v>970</v>
      </c>
      <c r="B284" s="3">
        <v>6000000</v>
      </c>
      <c r="C284" t="s">
        <v>820</v>
      </c>
      <c r="D284" t="s">
        <v>200</v>
      </c>
      <c r="E284" t="s">
        <v>200</v>
      </c>
      <c r="F284" t="s">
        <v>971</v>
      </c>
      <c r="G284">
        <v>2</v>
      </c>
      <c r="H284">
        <v>2</v>
      </c>
      <c r="I284">
        <v>2</v>
      </c>
      <c r="J284" t="s">
        <v>70</v>
      </c>
      <c r="K284" t="s">
        <v>20</v>
      </c>
      <c r="L284" t="s">
        <v>972</v>
      </c>
      <c r="M284" s="1">
        <v>46085</v>
      </c>
      <c r="N284" s="1">
        <v>46136</v>
      </c>
      <c r="O284" t="s">
        <v>973</v>
      </c>
    </row>
    <row r="285" spans="1:15" x14ac:dyDescent="0.3">
      <c r="A285" t="s">
        <v>974</v>
      </c>
      <c r="B285" s="3">
        <v>8000000</v>
      </c>
      <c r="C285" t="s">
        <v>820</v>
      </c>
      <c r="D285" t="s">
        <v>200</v>
      </c>
      <c r="E285" t="s">
        <v>200</v>
      </c>
      <c r="F285" t="s">
        <v>228</v>
      </c>
      <c r="G285">
        <v>4</v>
      </c>
      <c r="H285">
        <v>5</v>
      </c>
      <c r="I285">
        <v>5</v>
      </c>
      <c r="J285" t="s">
        <v>38</v>
      </c>
      <c r="K285" t="s">
        <v>20</v>
      </c>
      <c r="L285" t="s">
        <v>975</v>
      </c>
      <c r="M285" s="1">
        <v>46100</v>
      </c>
      <c r="N285" s="1">
        <v>46136</v>
      </c>
      <c r="O285" t="s">
        <v>976</v>
      </c>
    </row>
    <row r="286" spans="1:15" x14ac:dyDescent="0.3">
      <c r="A286" t="s">
        <v>977</v>
      </c>
      <c r="B286" s="3">
        <v>3000000</v>
      </c>
      <c r="C286" t="s">
        <v>820</v>
      </c>
      <c r="D286" t="s">
        <v>200</v>
      </c>
      <c r="E286" t="s">
        <v>200</v>
      </c>
      <c r="F286" t="s">
        <v>978</v>
      </c>
      <c r="G286">
        <v>2</v>
      </c>
      <c r="H286">
        <v>3</v>
      </c>
      <c r="I286">
        <v>3</v>
      </c>
      <c r="J286" t="s">
        <v>19</v>
      </c>
      <c r="K286" t="s">
        <v>20</v>
      </c>
      <c r="L286" t="s">
        <v>979</v>
      </c>
      <c r="M286" s="1">
        <v>46108</v>
      </c>
      <c r="N286" s="1">
        <v>46136</v>
      </c>
      <c r="O286" t="s">
        <v>980</v>
      </c>
    </row>
    <row r="287" spans="1:15" x14ac:dyDescent="0.3">
      <c r="A287" t="s">
        <v>981</v>
      </c>
      <c r="B287" s="3">
        <v>3000000</v>
      </c>
      <c r="C287" t="s">
        <v>820</v>
      </c>
      <c r="D287" t="s">
        <v>200</v>
      </c>
      <c r="E287" t="s">
        <v>200</v>
      </c>
      <c r="F287" t="s">
        <v>982</v>
      </c>
      <c r="G287">
        <v>2</v>
      </c>
      <c r="H287">
        <v>3</v>
      </c>
      <c r="I287">
        <v>3</v>
      </c>
      <c r="J287" t="s">
        <v>19</v>
      </c>
      <c r="K287" t="s">
        <v>20</v>
      </c>
      <c r="L287" t="s">
        <v>983</v>
      </c>
      <c r="M287" s="1">
        <v>46110</v>
      </c>
      <c r="N287" s="1">
        <v>46136</v>
      </c>
      <c r="O287" t="s">
        <v>984</v>
      </c>
    </row>
    <row r="288" spans="1:15" x14ac:dyDescent="0.3">
      <c r="A288" t="s">
        <v>985</v>
      </c>
      <c r="B288" s="3">
        <v>5000000</v>
      </c>
      <c r="C288" t="s">
        <v>820</v>
      </c>
      <c r="D288" t="s">
        <v>200</v>
      </c>
      <c r="E288" t="s">
        <v>200</v>
      </c>
      <c r="F288" t="s">
        <v>228</v>
      </c>
      <c r="G288">
        <v>3</v>
      </c>
      <c r="H288">
        <v>4</v>
      </c>
      <c r="I288">
        <v>4</v>
      </c>
      <c r="J288" t="s">
        <v>19</v>
      </c>
      <c r="K288" t="s">
        <v>20</v>
      </c>
      <c r="L288" t="s">
        <v>986</v>
      </c>
      <c r="M288" s="1">
        <v>46126</v>
      </c>
      <c r="N288" s="1">
        <v>46136</v>
      </c>
      <c r="O288" t="s">
        <v>987</v>
      </c>
    </row>
    <row r="289" spans="1:15" x14ac:dyDescent="0.3">
      <c r="A289" t="s">
        <v>988</v>
      </c>
      <c r="B289" s="3">
        <v>6000000</v>
      </c>
      <c r="C289" t="s">
        <v>820</v>
      </c>
      <c r="D289" t="s">
        <v>200</v>
      </c>
      <c r="E289" t="s">
        <v>200</v>
      </c>
      <c r="F289" t="s">
        <v>989</v>
      </c>
      <c r="G289">
        <v>3</v>
      </c>
      <c r="H289">
        <v>4</v>
      </c>
      <c r="I289">
        <v>4</v>
      </c>
      <c r="J289" t="s">
        <v>193</v>
      </c>
      <c r="K289" t="s">
        <v>20</v>
      </c>
      <c r="L289" t="s">
        <v>990</v>
      </c>
      <c r="M289" s="1">
        <v>46112</v>
      </c>
      <c r="N289" s="1">
        <v>46136</v>
      </c>
      <c r="O289" t="s">
        <v>991</v>
      </c>
    </row>
    <row r="290" spans="1:15" x14ac:dyDescent="0.3">
      <c r="A290" t="s">
        <v>992</v>
      </c>
      <c r="B290" s="3">
        <v>1800000</v>
      </c>
      <c r="C290" t="s">
        <v>820</v>
      </c>
      <c r="D290" t="s">
        <v>200</v>
      </c>
      <c r="E290" t="s">
        <v>200</v>
      </c>
      <c r="F290" t="s">
        <v>993</v>
      </c>
      <c r="G290">
        <v>1</v>
      </c>
      <c r="H290">
        <v>1</v>
      </c>
      <c r="I290">
        <v>1</v>
      </c>
      <c r="J290" t="s">
        <v>19</v>
      </c>
      <c r="K290" t="s">
        <v>20</v>
      </c>
      <c r="L290" t="s">
        <v>994</v>
      </c>
      <c r="M290" s="1">
        <v>46102</v>
      </c>
      <c r="N290" s="1">
        <v>46136</v>
      </c>
      <c r="O290" t="s">
        <v>995</v>
      </c>
    </row>
    <row r="291" spans="1:15" x14ac:dyDescent="0.3">
      <c r="A291" t="s">
        <v>996</v>
      </c>
      <c r="B291" s="3">
        <v>1800000</v>
      </c>
      <c r="C291" t="s">
        <v>820</v>
      </c>
      <c r="D291" t="s">
        <v>200</v>
      </c>
      <c r="E291" t="s">
        <v>200</v>
      </c>
      <c r="F291" t="s">
        <v>997</v>
      </c>
      <c r="G291">
        <v>1</v>
      </c>
      <c r="H291">
        <v>2</v>
      </c>
      <c r="I291">
        <v>2</v>
      </c>
      <c r="J291" t="s">
        <v>91</v>
      </c>
      <c r="K291" t="s">
        <v>20</v>
      </c>
      <c r="L291" t="s">
        <v>998</v>
      </c>
      <c r="M291" s="1">
        <v>46126</v>
      </c>
      <c r="N291" s="1">
        <v>46136</v>
      </c>
      <c r="O291" t="s">
        <v>999</v>
      </c>
    </row>
    <row r="292" spans="1:15" x14ac:dyDescent="0.3">
      <c r="A292" t="s">
        <v>366</v>
      </c>
      <c r="B292" s="3">
        <v>7000000</v>
      </c>
      <c r="C292" t="s">
        <v>820</v>
      </c>
      <c r="D292" t="s">
        <v>200</v>
      </c>
      <c r="E292" t="s">
        <v>200</v>
      </c>
      <c r="F292" t="s">
        <v>1000</v>
      </c>
      <c r="G292">
        <v>4</v>
      </c>
      <c r="H292">
        <v>5</v>
      </c>
      <c r="I292">
        <v>5</v>
      </c>
      <c r="J292" t="s">
        <v>29</v>
      </c>
      <c r="K292" t="s">
        <v>20</v>
      </c>
      <c r="L292" t="s">
        <v>1001</v>
      </c>
      <c r="M292" s="1">
        <v>46120</v>
      </c>
      <c r="N292" s="1">
        <v>46136</v>
      </c>
      <c r="O292" t="s">
        <v>1002</v>
      </c>
    </row>
    <row r="293" spans="1:15" x14ac:dyDescent="0.3">
      <c r="A293" t="s">
        <v>470</v>
      </c>
      <c r="B293" s="3">
        <v>4000000</v>
      </c>
      <c r="C293" t="s">
        <v>820</v>
      </c>
      <c r="D293" t="s">
        <v>200</v>
      </c>
      <c r="E293" t="s">
        <v>200</v>
      </c>
      <c r="F293" t="s">
        <v>1000</v>
      </c>
      <c r="G293">
        <v>3</v>
      </c>
      <c r="H293">
        <v>4</v>
      </c>
      <c r="I293">
        <v>4</v>
      </c>
      <c r="J293" t="s">
        <v>193</v>
      </c>
      <c r="K293" t="s">
        <v>20</v>
      </c>
      <c r="L293" t="s">
        <v>1003</v>
      </c>
      <c r="M293" s="1">
        <v>46105</v>
      </c>
      <c r="N293" s="1">
        <v>46136</v>
      </c>
      <c r="O293" t="s">
        <v>1004</v>
      </c>
    </row>
    <row r="294" spans="1:15" x14ac:dyDescent="0.3">
      <c r="A294" t="s">
        <v>1005</v>
      </c>
      <c r="B294" s="3">
        <v>4500000</v>
      </c>
      <c r="C294" t="s">
        <v>820</v>
      </c>
      <c r="D294" t="s">
        <v>200</v>
      </c>
      <c r="E294" t="s">
        <v>200</v>
      </c>
      <c r="F294" t="s">
        <v>978</v>
      </c>
      <c r="G294">
        <v>2</v>
      </c>
      <c r="H294">
        <v>3</v>
      </c>
      <c r="I294">
        <v>3</v>
      </c>
      <c r="J294" t="s">
        <v>193</v>
      </c>
      <c r="K294" t="s">
        <v>20</v>
      </c>
      <c r="L294" t="s">
        <v>1006</v>
      </c>
      <c r="M294" s="1">
        <v>46114</v>
      </c>
      <c r="N294" s="1">
        <v>46136</v>
      </c>
      <c r="O294" t="s">
        <v>1007</v>
      </c>
    </row>
    <row r="295" spans="1:15" x14ac:dyDescent="0.3">
      <c r="A295" t="s">
        <v>1008</v>
      </c>
      <c r="B295" s="3">
        <v>2800000</v>
      </c>
      <c r="C295" t="s">
        <v>820</v>
      </c>
      <c r="D295" t="s">
        <v>200</v>
      </c>
      <c r="E295" t="s">
        <v>200</v>
      </c>
      <c r="F295" t="s">
        <v>1009</v>
      </c>
      <c r="G295">
        <v>2</v>
      </c>
      <c r="H295">
        <v>3</v>
      </c>
      <c r="I295">
        <v>3</v>
      </c>
      <c r="J295" t="s">
        <v>19</v>
      </c>
      <c r="K295" t="s">
        <v>20</v>
      </c>
      <c r="L295" t="s">
        <v>1010</v>
      </c>
      <c r="M295" s="1">
        <v>46119</v>
      </c>
      <c r="N295" s="1">
        <v>46136</v>
      </c>
      <c r="O295" t="s">
        <v>1011</v>
      </c>
    </row>
    <row r="296" spans="1:15" x14ac:dyDescent="0.3">
      <c r="A296" t="s">
        <v>1012</v>
      </c>
      <c r="B296" s="3">
        <v>1800000</v>
      </c>
      <c r="C296" t="s">
        <v>820</v>
      </c>
      <c r="D296" t="s">
        <v>200</v>
      </c>
      <c r="E296" t="s">
        <v>200</v>
      </c>
      <c r="F296" t="s">
        <v>997</v>
      </c>
      <c r="G296">
        <v>1</v>
      </c>
      <c r="H296">
        <v>2</v>
      </c>
      <c r="I296">
        <v>2</v>
      </c>
      <c r="J296" t="s">
        <v>19</v>
      </c>
      <c r="K296" t="s">
        <v>20</v>
      </c>
      <c r="L296" t="s">
        <v>1013</v>
      </c>
      <c r="M296" s="1">
        <v>46101</v>
      </c>
      <c r="N296" s="1">
        <v>46136</v>
      </c>
      <c r="O296" t="s">
        <v>1014</v>
      </c>
    </row>
    <row r="297" spans="1:15" x14ac:dyDescent="0.3">
      <c r="A297" t="s">
        <v>1015</v>
      </c>
      <c r="B297" s="3">
        <v>4000000</v>
      </c>
      <c r="C297" t="s">
        <v>820</v>
      </c>
      <c r="D297" t="s">
        <v>200</v>
      </c>
      <c r="E297" t="s">
        <v>200</v>
      </c>
      <c r="F297" t="s">
        <v>989</v>
      </c>
      <c r="G297">
        <v>3</v>
      </c>
      <c r="H297">
        <v>4</v>
      </c>
      <c r="I297">
        <v>4</v>
      </c>
      <c r="J297" t="s">
        <v>193</v>
      </c>
      <c r="K297" t="s">
        <v>20</v>
      </c>
      <c r="L297" t="s">
        <v>1016</v>
      </c>
      <c r="M297" s="1">
        <v>46112</v>
      </c>
      <c r="N297" s="1">
        <v>46136</v>
      </c>
      <c r="O297" t="s">
        <v>1017</v>
      </c>
    </row>
    <row r="298" spans="1:15" x14ac:dyDescent="0.3">
      <c r="A298" t="s">
        <v>977</v>
      </c>
      <c r="B298" s="3">
        <v>2500000</v>
      </c>
      <c r="C298" t="s">
        <v>820</v>
      </c>
      <c r="D298" t="s">
        <v>200</v>
      </c>
      <c r="E298" t="s">
        <v>200</v>
      </c>
      <c r="F298" t="s">
        <v>997</v>
      </c>
      <c r="G298">
        <v>2</v>
      </c>
      <c r="H298">
        <v>3</v>
      </c>
      <c r="I298">
        <v>3</v>
      </c>
      <c r="J298" t="s">
        <v>19</v>
      </c>
      <c r="K298" t="s">
        <v>20</v>
      </c>
      <c r="L298" t="s">
        <v>1018</v>
      </c>
      <c r="M298" s="1">
        <v>46126</v>
      </c>
      <c r="N298" s="1">
        <v>46136</v>
      </c>
      <c r="O298" t="s">
        <v>1019</v>
      </c>
    </row>
    <row r="299" spans="1:15" x14ac:dyDescent="0.3">
      <c r="A299" t="s">
        <v>1015</v>
      </c>
      <c r="B299" s="3">
        <v>4700000</v>
      </c>
      <c r="C299" t="s">
        <v>820</v>
      </c>
      <c r="D299" t="s">
        <v>200</v>
      </c>
      <c r="E299" t="s">
        <v>200</v>
      </c>
      <c r="F299" t="s">
        <v>1020</v>
      </c>
      <c r="G299">
        <v>3</v>
      </c>
      <c r="H299">
        <v>3</v>
      </c>
      <c r="J299" t="s">
        <v>193</v>
      </c>
      <c r="K299" t="s">
        <v>20</v>
      </c>
      <c r="L299" t="s">
        <v>1021</v>
      </c>
      <c r="M299" s="1">
        <v>46120</v>
      </c>
      <c r="N299" s="1">
        <v>46136</v>
      </c>
      <c r="O299" t="s">
        <v>1022</v>
      </c>
    </row>
    <row r="300" spans="1:15" x14ac:dyDescent="0.3">
      <c r="A300" t="s">
        <v>1023</v>
      </c>
      <c r="B300" s="3">
        <v>6000000</v>
      </c>
      <c r="C300" t="s">
        <v>820</v>
      </c>
      <c r="D300" t="s">
        <v>200</v>
      </c>
      <c r="E300" t="s">
        <v>200</v>
      </c>
      <c r="F300" t="s">
        <v>1024</v>
      </c>
      <c r="G300">
        <v>4</v>
      </c>
      <c r="H300">
        <v>5</v>
      </c>
      <c r="I300">
        <v>5</v>
      </c>
      <c r="J300" t="s">
        <v>38</v>
      </c>
      <c r="K300" t="s">
        <v>20</v>
      </c>
      <c r="L300" t="s">
        <v>1025</v>
      </c>
      <c r="M300" s="1">
        <v>46119</v>
      </c>
      <c r="N300" s="1">
        <v>46136</v>
      </c>
      <c r="O300" t="s">
        <v>1026</v>
      </c>
    </row>
    <row r="301" spans="1:15" x14ac:dyDescent="0.3">
      <c r="A301" t="s">
        <v>1027</v>
      </c>
      <c r="B301" s="3">
        <v>7500000</v>
      </c>
      <c r="C301" t="s">
        <v>820</v>
      </c>
      <c r="D301" t="s">
        <v>200</v>
      </c>
      <c r="E301" t="s">
        <v>200</v>
      </c>
      <c r="F301" t="s">
        <v>228</v>
      </c>
      <c r="G301">
        <v>3</v>
      </c>
      <c r="H301">
        <v>4</v>
      </c>
      <c r="I301">
        <v>4</v>
      </c>
      <c r="J301" t="s">
        <v>70</v>
      </c>
      <c r="K301" t="s">
        <v>20</v>
      </c>
      <c r="L301" t="s">
        <v>1028</v>
      </c>
      <c r="M301" s="1">
        <v>46126</v>
      </c>
      <c r="N301" s="1">
        <v>46136</v>
      </c>
      <c r="O301" t="s">
        <v>1029</v>
      </c>
    </row>
    <row r="302" spans="1:15" x14ac:dyDescent="0.3">
      <c r="A302" t="s">
        <v>1030</v>
      </c>
      <c r="B302" s="3">
        <v>2500000</v>
      </c>
      <c r="C302" t="s">
        <v>820</v>
      </c>
      <c r="D302" t="s">
        <v>200</v>
      </c>
      <c r="E302" t="s">
        <v>200</v>
      </c>
      <c r="F302" t="s">
        <v>1031</v>
      </c>
      <c r="G302">
        <v>2</v>
      </c>
      <c r="H302">
        <v>3</v>
      </c>
      <c r="I302">
        <v>3</v>
      </c>
      <c r="J302" t="s">
        <v>193</v>
      </c>
      <c r="K302" t="s">
        <v>20</v>
      </c>
      <c r="L302" t="s">
        <v>1032</v>
      </c>
      <c r="M302" s="1">
        <v>46114</v>
      </c>
      <c r="N302" s="1">
        <v>46136</v>
      </c>
      <c r="O302" t="s">
        <v>1033</v>
      </c>
    </row>
    <row r="303" spans="1:15" x14ac:dyDescent="0.3">
      <c r="A303" t="s">
        <v>1034</v>
      </c>
      <c r="B303" s="3">
        <v>13000000</v>
      </c>
      <c r="C303" t="s">
        <v>820</v>
      </c>
      <c r="D303" t="s">
        <v>236</v>
      </c>
      <c r="E303" t="s">
        <v>236</v>
      </c>
      <c r="F303" t="s">
        <v>237</v>
      </c>
      <c r="G303">
        <v>3</v>
      </c>
      <c r="H303">
        <v>3</v>
      </c>
      <c r="I303">
        <v>4</v>
      </c>
      <c r="J303" t="s">
        <v>29</v>
      </c>
      <c r="K303" t="s">
        <v>20</v>
      </c>
      <c r="L303" t="s">
        <v>1035</v>
      </c>
      <c r="M303" s="1">
        <v>46108</v>
      </c>
      <c r="N303" s="1">
        <v>46136</v>
      </c>
      <c r="O303" t="s">
        <v>1036</v>
      </c>
    </row>
    <row r="304" spans="1:15" x14ac:dyDescent="0.3">
      <c r="A304" t="s">
        <v>227</v>
      </c>
      <c r="B304" s="3">
        <v>6500000</v>
      </c>
      <c r="C304" t="s">
        <v>820</v>
      </c>
      <c r="D304" t="s">
        <v>236</v>
      </c>
      <c r="E304" t="s">
        <v>236</v>
      </c>
      <c r="F304" t="s">
        <v>1037</v>
      </c>
      <c r="G304">
        <v>2</v>
      </c>
      <c r="H304">
        <v>3</v>
      </c>
      <c r="J304" t="s">
        <v>19</v>
      </c>
      <c r="K304" t="s">
        <v>20</v>
      </c>
      <c r="L304" t="s">
        <v>1038</v>
      </c>
      <c r="M304" s="1">
        <v>46079</v>
      </c>
      <c r="N304" s="1">
        <v>46136</v>
      </c>
      <c r="O304" t="s">
        <v>1039</v>
      </c>
    </row>
    <row r="305" spans="1:15" x14ac:dyDescent="0.3">
      <c r="A305" t="s">
        <v>1040</v>
      </c>
      <c r="B305" s="3">
        <v>15000000</v>
      </c>
      <c r="C305" t="s">
        <v>820</v>
      </c>
      <c r="D305" t="s">
        <v>236</v>
      </c>
      <c r="E305" t="s">
        <v>236</v>
      </c>
      <c r="F305" t="s">
        <v>1041</v>
      </c>
      <c r="G305">
        <v>3</v>
      </c>
      <c r="H305">
        <v>4</v>
      </c>
      <c r="I305">
        <v>4</v>
      </c>
      <c r="J305" t="s">
        <v>29</v>
      </c>
      <c r="K305" t="s">
        <v>20</v>
      </c>
      <c r="L305" t="s">
        <v>1042</v>
      </c>
      <c r="M305" s="1">
        <v>46128</v>
      </c>
      <c r="N305" s="1">
        <v>46136</v>
      </c>
      <c r="O305" t="s">
        <v>1043</v>
      </c>
    </row>
    <row r="306" spans="1:15" x14ac:dyDescent="0.3">
      <c r="A306" t="s">
        <v>903</v>
      </c>
      <c r="B306" s="3">
        <v>7000000</v>
      </c>
      <c r="C306" t="s">
        <v>820</v>
      </c>
      <c r="D306" t="s">
        <v>236</v>
      </c>
      <c r="E306" t="s">
        <v>236</v>
      </c>
      <c r="F306" t="s">
        <v>1041</v>
      </c>
      <c r="G306">
        <v>3</v>
      </c>
      <c r="H306">
        <v>3</v>
      </c>
      <c r="J306" t="s">
        <v>19</v>
      </c>
      <c r="K306" t="s">
        <v>20</v>
      </c>
      <c r="L306" t="s">
        <v>1044</v>
      </c>
      <c r="M306" s="1">
        <v>46126</v>
      </c>
      <c r="N306" s="1">
        <v>46136</v>
      </c>
      <c r="O306" t="s">
        <v>1045</v>
      </c>
    </row>
    <row r="307" spans="1:15" x14ac:dyDescent="0.3">
      <c r="A307" t="s">
        <v>1046</v>
      </c>
      <c r="B307" s="3">
        <v>35000000</v>
      </c>
      <c r="C307" t="s">
        <v>820</v>
      </c>
      <c r="D307" t="s">
        <v>236</v>
      </c>
      <c r="E307" t="s">
        <v>236</v>
      </c>
      <c r="F307" t="s">
        <v>1047</v>
      </c>
      <c r="G307">
        <v>4</v>
      </c>
      <c r="H307">
        <v>5</v>
      </c>
      <c r="I307">
        <v>5</v>
      </c>
      <c r="J307" t="s">
        <v>38</v>
      </c>
      <c r="K307" t="s">
        <v>20</v>
      </c>
      <c r="L307" t="s">
        <v>1048</v>
      </c>
      <c r="M307" s="1">
        <v>46031</v>
      </c>
      <c r="N307" s="1">
        <v>46136</v>
      </c>
      <c r="O307" t="s">
        <v>1049</v>
      </c>
    </row>
    <row r="308" spans="1:15" x14ac:dyDescent="0.3">
      <c r="A308" t="s">
        <v>227</v>
      </c>
      <c r="B308" s="3">
        <v>9000000</v>
      </c>
      <c r="C308" t="s">
        <v>820</v>
      </c>
      <c r="D308" t="s">
        <v>236</v>
      </c>
      <c r="E308" t="s">
        <v>236</v>
      </c>
      <c r="F308" t="s">
        <v>1050</v>
      </c>
      <c r="G308">
        <v>2</v>
      </c>
      <c r="H308">
        <v>2</v>
      </c>
      <c r="I308">
        <v>3</v>
      </c>
      <c r="J308" t="s">
        <v>19</v>
      </c>
      <c r="K308" t="s">
        <v>20</v>
      </c>
      <c r="L308" t="s">
        <v>1051</v>
      </c>
      <c r="M308" s="1">
        <v>46114</v>
      </c>
      <c r="N308" s="1">
        <v>46136</v>
      </c>
      <c r="O308" t="s">
        <v>1052</v>
      </c>
    </row>
    <row r="309" spans="1:15" x14ac:dyDescent="0.3">
      <c r="A309" t="s">
        <v>99</v>
      </c>
      <c r="B309" s="3">
        <v>4000000</v>
      </c>
      <c r="C309" t="s">
        <v>820</v>
      </c>
      <c r="D309" t="s">
        <v>236</v>
      </c>
      <c r="E309" t="s">
        <v>236</v>
      </c>
      <c r="F309" t="s">
        <v>1050</v>
      </c>
      <c r="G309">
        <v>4</v>
      </c>
      <c r="H309">
        <v>4</v>
      </c>
      <c r="I309">
        <v>5</v>
      </c>
      <c r="J309" t="s">
        <v>38</v>
      </c>
      <c r="K309" t="s">
        <v>20</v>
      </c>
      <c r="L309" t="s">
        <v>1053</v>
      </c>
      <c r="M309" s="1">
        <v>46122</v>
      </c>
      <c r="N309" s="1">
        <v>46136</v>
      </c>
      <c r="O309" t="s">
        <v>1054</v>
      </c>
    </row>
    <row r="310" spans="1:15" x14ac:dyDescent="0.3">
      <c r="A310" t="s">
        <v>1055</v>
      </c>
      <c r="B310" s="3">
        <v>20000000</v>
      </c>
      <c r="C310" t="s">
        <v>820</v>
      </c>
      <c r="D310" t="s">
        <v>236</v>
      </c>
      <c r="E310" t="s">
        <v>236</v>
      </c>
      <c r="F310" t="s">
        <v>1056</v>
      </c>
      <c r="G310">
        <v>5</v>
      </c>
      <c r="H310">
        <v>5</v>
      </c>
      <c r="I310">
        <v>5</v>
      </c>
      <c r="J310" t="s">
        <v>70</v>
      </c>
      <c r="K310" t="s">
        <v>20</v>
      </c>
      <c r="L310" t="s">
        <v>1057</v>
      </c>
      <c r="M310" s="1">
        <v>46072</v>
      </c>
      <c r="N310" s="1">
        <v>46136</v>
      </c>
      <c r="O310" t="s">
        <v>1058</v>
      </c>
    </row>
    <row r="311" spans="1:15" x14ac:dyDescent="0.3">
      <c r="A311" t="s">
        <v>497</v>
      </c>
      <c r="B311" s="3">
        <v>15000000</v>
      </c>
      <c r="C311" t="s">
        <v>820</v>
      </c>
      <c r="D311" t="s">
        <v>236</v>
      </c>
      <c r="E311" t="s">
        <v>236</v>
      </c>
      <c r="F311" t="s">
        <v>1056</v>
      </c>
      <c r="G311">
        <v>4</v>
      </c>
      <c r="H311">
        <v>4</v>
      </c>
      <c r="I311">
        <v>5</v>
      </c>
      <c r="J311" t="s">
        <v>70</v>
      </c>
      <c r="K311" t="s">
        <v>20</v>
      </c>
      <c r="L311" t="s">
        <v>1059</v>
      </c>
      <c r="M311" s="1">
        <v>46084</v>
      </c>
      <c r="N311" s="1">
        <v>46136</v>
      </c>
      <c r="O311" t="s">
        <v>1060</v>
      </c>
    </row>
    <row r="312" spans="1:15" x14ac:dyDescent="0.3">
      <c r="A312" t="s">
        <v>227</v>
      </c>
      <c r="B312" s="3">
        <v>4000000</v>
      </c>
      <c r="C312" t="s">
        <v>820</v>
      </c>
      <c r="D312" t="s">
        <v>236</v>
      </c>
      <c r="E312" t="s">
        <v>236</v>
      </c>
      <c r="F312" t="s">
        <v>1061</v>
      </c>
      <c r="G312">
        <v>2</v>
      </c>
      <c r="H312">
        <v>2</v>
      </c>
      <c r="I312">
        <v>3</v>
      </c>
      <c r="J312" t="s">
        <v>19</v>
      </c>
      <c r="K312" t="s">
        <v>20</v>
      </c>
      <c r="L312" t="s">
        <v>1062</v>
      </c>
      <c r="M312" s="1">
        <v>46078</v>
      </c>
      <c r="N312" s="1">
        <v>46136</v>
      </c>
      <c r="O312" t="s">
        <v>1063</v>
      </c>
    </row>
    <row r="313" spans="1:15" x14ac:dyDescent="0.3">
      <c r="A313" t="s">
        <v>227</v>
      </c>
      <c r="B313" s="3">
        <v>4000000</v>
      </c>
      <c r="C313" t="s">
        <v>820</v>
      </c>
      <c r="D313" t="s">
        <v>236</v>
      </c>
      <c r="E313" t="s">
        <v>236</v>
      </c>
      <c r="F313" t="s">
        <v>1064</v>
      </c>
      <c r="G313">
        <v>2</v>
      </c>
      <c r="H313">
        <v>2</v>
      </c>
      <c r="I313">
        <v>3</v>
      </c>
      <c r="J313" t="s">
        <v>19</v>
      </c>
      <c r="K313" t="s">
        <v>20</v>
      </c>
      <c r="L313" t="s">
        <v>1065</v>
      </c>
      <c r="M313" s="1">
        <v>46079</v>
      </c>
      <c r="N313" s="1">
        <v>46136</v>
      </c>
      <c r="O313" t="s">
        <v>1066</v>
      </c>
    </row>
    <row r="314" spans="1:15" x14ac:dyDescent="0.3">
      <c r="A314" t="s">
        <v>1067</v>
      </c>
      <c r="B314" s="3">
        <v>25000000</v>
      </c>
      <c r="C314" t="s">
        <v>820</v>
      </c>
      <c r="D314" t="s">
        <v>236</v>
      </c>
      <c r="E314" t="s">
        <v>236</v>
      </c>
      <c r="F314" t="s">
        <v>237</v>
      </c>
      <c r="G314">
        <v>4</v>
      </c>
      <c r="H314">
        <v>4</v>
      </c>
      <c r="I314">
        <v>5</v>
      </c>
      <c r="J314" t="s">
        <v>70</v>
      </c>
      <c r="K314" t="s">
        <v>20</v>
      </c>
      <c r="L314" t="s">
        <v>1068</v>
      </c>
      <c r="M314" s="1">
        <v>46081</v>
      </c>
      <c r="N314" s="1">
        <v>46136</v>
      </c>
      <c r="O314" t="s">
        <v>1069</v>
      </c>
    </row>
    <row r="315" spans="1:15" x14ac:dyDescent="0.3">
      <c r="A315" t="s">
        <v>1070</v>
      </c>
      <c r="B315" s="3">
        <v>2500000</v>
      </c>
      <c r="C315" t="s">
        <v>820</v>
      </c>
      <c r="D315" t="s">
        <v>284</v>
      </c>
      <c r="E315" t="s">
        <v>284</v>
      </c>
      <c r="F315" t="s">
        <v>1071</v>
      </c>
      <c r="G315">
        <v>1</v>
      </c>
      <c r="H315">
        <v>1</v>
      </c>
      <c r="I315">
        <v>1</v>
      </c>
      <c r="J315" t="s">
        <v>19</v>
      </c>
      <c r="K315" t="s">
        <v>20</v>
      </c>
      <c r="L315" t="s">
        <v>1072</v>
      </c>
      <c r="M315" s="1">
        <v>46137</v>
      </c>
      <c r="N315" s="1">
        <v>46137</v>
      </c>
      <c r="O315" t="s">
        <v>1073</v>
      </c>
    </row>
    <row r="316" spans="1:15" x14ac:dyDescent="0.3">
      <c r="A316" t="s">
        <v>1074</v>
      </c>
      <c r="B316" s="3">
        <v>20000000</v>
      </c>
      <c r="C316" t="s">
        <v>820</v>
      </c>
      <c r="D316" t="s">
        <v>284</v>
      </c>
      <c r="E316" t="s">
        <v>284</v>
      </c>
      <c r="F316" t="s">
        <v>293</v>
      </c>
      <c r="G316">
        <v>4</v>
      </c>
      <c r="H316">
        <v>4</v>
      </c>
      <c r="I316">
        <v>5</v>
      </c>
      <c r="J316" t="s">
        <v>29</v>
      </c>
      <c r="K316" t="s">
        <v>20</v>
      </c>
      <c r="L316" t="s">
        <v>1075</v>
      </c>
      <c r="M316" s="1">
        <v>46096</v>
      </c>
      <c r="N316" s="1">
        <v>46136</v>
      </c>
      <c r="O316" t="s">
        <v>1076</v>
      </c>
    </row>
    <row r="317" spans="1:15" x14ac:dyDescent="0.3">
      <c r="A317" t="s">
        <v>859</v>
      </c>
      <c r="B317" s="3">
        <v>30000000</v>
      </c>
      <c r="C317" t="s">
        <v>820</v>
      </c>
      <c r="D317" t="s">
        <v>284</v>
      </c>
      <c r="E317" t="s">
        <v>284</v>
      </c>
      <c r="F317" t="s">
        <v>1077</v>
      </c>
      <c r="G317">
        <v>6</v>
      </c>
      <c r="H317">
        <v>6</v>
      </c>
      <c r="I317">
        <v>7</v>
      </c>
      <c r="J317" t="s">
        <v>38</v>
      </c>
      <c r="K317" t="s">
        <v>20</v>
      </c>
      <c r="L317" t="s">
        <v>1078</v>
      </c>
      <c r="M317" s="1">
        <v>46082</v>
      </c>
      <c r="N317" s="1">
        <v>46136</v>
      </c>
      <c r="O317" t="s">
        <v>1079</v>
      </c>
    </row>
    <row r="318" spans="1:15" x14ac:dyDescent="0.3">
      <c r="A318" t="s">
        <v>1080</v>
      </c>
      <c r="B318" s="3">
        <v>7000000</v>
      </c>
      <c r="C318" t="s">
        <v>820</v>
      </c>
      <c r="D318" t="s">
        <v>284</v>
      </c>
      <c r="E318" t="s">
        <v>284</v>
      </c>
      <c r="F318" t="s">
        <v>1081</v>
      </c>
      <c r="G318">
        <v>2</v>
      </c>
      <c r="H318">
        <v>2</v>
      </c>
      <c r="I318">
        <v>3</v>
      </c>
      <c r="J318" t="s">
        <v>19</v>
      </c>
      <c r="K318" t="s">
        <v>20</v>
      </c>
      <c r="L318" t="s">
        <v>1082</v>
      </c>
      <c r="M318" s="1">
        <v>46106</v>
      </c>
      <c r="N318" s="1">
        <v>46136</v>
      </c>
      <c r="O318" t="s">
        <v>1083</v>
      </c>
    </row>
    <row r="319" spans="1:15" x14ac:dyDescent="0.3">
      <c r="A319" t="s">
        <v>1084</v>
      </c>
      <c r="B319" s="3">
        <v>16000000</v>
      </c>
      <c r="C319" t="s">
        <v>820</v>
      </c>
      <c r="D319" t="s">
        <v>284</v>
      </c>
      <c r="E319" t="s">
        <v>284</v>
      </c>
      <c r="F319" t="s">
        <v>1085</v>
      </c>
      <c r="G319">
        <v>4</v>
      </c>
      <c r="H319">
        <v>4</v>
      </c>
      <c r="I319">
        <v>5</v>
      </c>
      <c r="J319" t="s">
        <v>29</v>
      </c>
      <c r="K319" t="s">
        <v>20</v>
      </c>
      <c r="L319" t="s">
        <v>1086</v>
      </c>
      <c r="M319" s="1">
        <v>46121</v>
      </c>
      <c r="N319" s="1">
        <v>46136</v>
      </c>
      <c r="O319" t="s">
        <v>1087</v>
      </c>
    </row>
    <row r="320" spans="1:15" x14ac:dyDescent="0.3">
      <c r="A320" t="s">
        <v>1088</v>
      </c>
      <c r="B320" s="3">
        <v>30000000</v>
      </c>
      <c r="C320" t="s">
        <v>820</v>
      </c>
      <c r="D320" t="s">
        <v>284</v>
      </c>
      <c r="E320" t="s">
        <v>284</v>
      </c>
      <c r="F320" t="s">
        <v>1089</v>
      </c>
      <c r="G320">
        <v>4</v>
      </c>
      <c r="H320">
        <v>4</v>
      </c>
      <c r="I320">
        <v>5</v>
      </c>
      <c r="J320" t="s">
        <v>70</v>
      </c>
      <c r="K320" t="s">
        <v>20</v>
      </c>
      <c r="L320" t="s">
        <v>1090</v>
      </c>
      <c r="M320" s="1">
        <v>46097</v>
      </c>
      <c r="N320" s="1">
        <v>46136</v>
      </c>
      <c r="O320" t="s">
        <v>1091</v>
      </c>
    </row>
    <row r="321" spans="1:15" x14ac:dyDescent="0.3">
      <c r="A321" t="s">
        <v>1092</v>
      </c>
      <c r="B321" s="3">
        <v>23000000</v>
      </c>
      <c r="C321" t="s">
        <v>820</v>
      </c>
      <c r="D321" t="s">
        <v>284</v>
      </c>
      <c r="E321" t="s">
        <v>284</v>
      </c>
      <c r="F321" t="s">
        <v>1085</v>
      </c>
      <c r="G321">
        <v>4</v>
      </c>
      <c r="H321">
        <v>4</v>
      </c>
      <c r="I321">
        <v>5</v>
      </c>
      <c r="J321" t="s">
        <v>29</v>
      </c>
      <c r="K321" t="s">
        <v>20</v>
      </c>
      <c r="L321" t="s">
        <v>1093</v>
      </c>
      <c r="M321" s="1">
        <v>46133</v>
      </c>
      <c r="N321" s="1">
        <v>46136</v>
      </c>
      <c r="O321" t="s">
        <v>1094</v>
      </c>
    </row>
    <row r="322" spans="1:15" x14ac:dyDescent="0.3">
      <c r="A322" t="s">
        <v>1095</v>
      </c>
      <c r="B322" s="3">
        <v>30000000</v>
      </c>
      <c r="C322" t="s">
        <v>820</v>
      </c>
      <c r="D322" t="s">
        <v>284</v>
      </c>
      <c r="E322" t="s">
        <v>284</v>
      </c>
      <c r="F322" t="s">
        <v>1089</v>
      </c>
      <c r="G322">
        <v>6</v>
      </c>
      <c r="H322">
        <v>6</v>
      </c>
      <c r="I322">
        <v>7</v>
      </c>
      <c r="J322" t="s">
        <v>29</v>
      </c>
      <c r="K322" t="s">
        <v>20</v>
      </c>
      <c r="L322" t="s">
        <v>1096</v>
      </c>
      <c r="M322" s="1">
        <v>46097</v>
      </c>
      <c r="N322" s="1">
        <v>46136</v>
      </c>
      <c r="O322" t="s">
        <v>1097</v>
      </c>
    </row>
    <row r="323" spans="1:15" x14ac:dyDescent="0.3">
      <c r="A323" t="s">
        <v>15</v>
      </c>
      <c r="B323" s="3">
        <v>12000000</v>
      </c>
      <c r="C323" t="s">
        <v>820</v>
      </c>
      <c r="D323" t="s">
        <v>284</v>
      </c>
      <c r="E323" t="s">
        <v>284</v>
      </c>
      <c r="F323" t="s">
        <v>1098</v>
      </c>
      <c r="G323">
        <v>3</v>
      </c>
      <c r="H323">
        <v>4</v>
      </c>
      <c r="I323">
        <v>4</v>
      </c>
      <c r="J323" t="s">
        <v>19</v>
      </c>
      <c r="K323" t="s">
        <v>20</v>
      </c>
      <c r="L323" t="s">
        <v>1099</v>
      </c>
      <c r="M323" s="1">
        <v>46093</v>
      </c>
      <c r="N323" s="1">
        <v>46136</v>
      </c>
      <c r="O323" t="s">
        <v>1100</v>
      </c>
    </row>
    <row r="324" spans="1:15" x14ac:dyDescent="0.3">
      <c r="A324" t="s">
        <v>1101</v>
      </c>
      <c r="B324" s="3">
        <v>23000000</v>
      </c>
      <c r="C324" t="s">
        <v>820</v>
      </c>
      <c r="D324" t="s">
        <v>284</v>
      </c>
      <c r="E324" t="s">
        <v>284</v>
      </c>
      <c r="F324" t="s">
        <v>1098</v>
      </c>
      <c r="G324">
        <v>2</v>
      </c>
      <c r="H324">
        <v>2</v>
      </c>
      <c r="I324">
        <v>3</v>
      </c>
      <c r="J324" t="s">
        <v>19</v>
      </c>
      <c r="K324" t="s">
        <v>20</v>
      </c>
      <c r="L324" t="s">
        <v>1102</v>
      </c>
      <c r="M324" s="1">
        <v>46109</v>
      </c>
      <c r="N324" s="1">
        <v>46136</v>
      </c>
      <c r="O324" t="s">
        <v>1103</v>
      </c>
    </row>
    <row r="325" spans="1:15" x14ac:dyDescent="0.3">
      <c r="A325" t="s">
        <v>1104</v>
      </c>
      <c r="B325" s="3">
        <v>16000000</v>
      </c>
      <c r="C325" t="s">
        <v>820</v>
      </c>
      <c r="D325" t="s">
        <v>284</v>
      </c>
      <c r="E325" t="s">
        <v>284</v>
      </c>
      <c r="F325" t="s">
        <v>1105</v>
      </c>
      <c r="G325">
        <v>4</v>
      </c>
      <c r="H325">
        <v>6</v>
      </c>
      <c r="I325">
        <v>6</v>
      </c>
      <c r="J325" t="s">
        <v>29</v>
      </c>
      <c r="K325" t="s">
        <v>20</v>
      </c>
      <c r="L325" t="s">
        <v>1106</v>
      </c>
      <c r="M325" s="1">
        <v>46122</v>
      </c>
      <c r="N325" s="1">
        <v>46136</v>
      </c>
      <c r="O325" t="s">
        <v>1107</v>
      </c>
    </row>
    <row r="326" spans="1:15" x14ac:dyDescent="0.3">
      <c r="A326" t="s">
        <v>1108</v>
      </c>
      <c r="B326" s="3">
        <v>50000000</v>
      </c>
      <c r="C326" t="s">
        <v>820</v>
      </c>
      <c r="D326" t="s">
        <v>284</v>
      </c>
      <c r="E326" t="s">
        <v>284</v>
      </c>
      <c r="F326" t="s">
        <v>289</v>
      </c>
      <c r="G326">
        <v>7</v>
      </c>
      <c r="H326">
        <v>7</v>
      </c>
      <c r="I326">
        <v>7</v>
      </c>
      <c r="J326" t="s">
        <v>38</v>
      </c>
      <c r="K326" t="s">
        <v>20</v>
      </c>
      <c r="L326" t="s">
        <v>1109</v>
      </c>
      <c r="M326" s="1">
        <v>46101</v>
      </c>
      <c r="N326" s="1">
        <v>46136</v>
      </c>
      <c r="O326" t="s">
        <v>1110</v>
      </c>
    </row>
    <row r="327" spans="1:15" x14ac:dyDescent="0.3">
      <c r="A327" t="s">
        <v>1111</v>
      </c>
      <c r="B327" s="3">
        <v>30000000</v>
      </c>
      <c r="C327" t="s">
        <v>820</v>
      </c>
      <c r="D327" t="s">
        <v>284</v>
      </c>
      <c r="E327" t="s">
        <v>284</v>
      </c>
      <c r="F327" t="s">
        <v>289</v>
      </c>
      <c r="G327">
        <v>5</v>
      </c>
      <c r="H327">
        <v>5</v>
      </c>
      <c r="I327">
        <v>6</v>
      </c>
      <c r="J327" t="s">
        <v>70</v>
      </c>
      <c r="K327" t="s">
        <v>20</v>
      </c>
      <c r="L327" t="s">
        <v>1112</v>
      </c>
      <c r="M327" s="1">
        <v>46114</v>
      </c>
      <c r="N327" s="1">
        <v>46136</v>
      </c>
      <c r="O327" t="s">
        <v>1113</v>
      </c>
    </row>
    <row r="328" spans="1:15" x14ac:dyDescent="0.3">
      <c r="A328" t="s">
        <v>138</v>
      </c>
      <c r="B328" s="3">
        <v>3500000</v>
      </c>
      <c r="C328" t="s">
        <v>820</v>
      </c>
      <c r="D328" t="s">
        <v>284</v>
      </c>
      <c r="E328" t="s">
        <v>284</v>
      </c>
      <c r="F328" t="s">
        <v>1114</v>
      </c>
      <c r="G328">
        <v>2</v>
      </c>
      <c r="H328">
        <v>2</v>
      </c>
      <c r="I328">
        <v>3</v>
      </c>
      <c r="J328" t="s">
        <v>19</v>
      </c>
      <c r="K328" t="s">
        <v>20</v>
      </c>
      <c r="L328" t="s">
        <v>1115</v>
      </c>
      <c r="M328" s="1">
        <v>46070</v>
      </c>
      <c r="N328" s="1">
        <v>46136</v>
      </c>
      <c r="O328" t="s">
        <v>1116</v>
      </c>
    </row>
    <row r="329" spans="1:15" x14ac:dyDescent="0.3">
      <c r="A329" t="s">
        <v>1117</v>
      </c>
      <c r="B329" s="3">
        <v>30000000</v>
      </c>
      <c r="C329" t="s">
        <v>820</v>
      </c>
      <c r="D329" t="s">
        <v>284</v>
      </c>
      <c r="E329" t="s">
        <v>284</v>
      </c>
      <c r="F329" t="s">
        <v>1118</v>
      </c>
      <c r="G329">
        <v>6</v>
      </c>
      <c r="H329">
        <v>6</v>
      </c>
      <c r="I329">
        <v>7</v>
      </c>
      <c r="J329" t="s">
        <v>38</v>
      </c>
      <c r="K329" t="s">
        <v>20</v>
      </c>
      <c r="L329" t="s">
        <v>1119</v>
      </c>
      <c r="M329" s="1">
        <v>46082</v>
      </c>
      <c r="N329" s="1">
        <v>46136</v>
      </c>
      <c r="O329" t="s">
        <v>1120</v>
      </c>
    </row>
    <row r="330" spans="1:15" x14ac:dyDescent="0.3">
      <c r="A330" t="s">
        <v>138</v>
      </c>
      <c r="B330" s="3">
        <v>3500000</v>
      </c>
      <c r="C330" t="s">
        <v>820</v>
      </c>
      <c r="D330" t="s">
        <v>284</v>
      </c>
      <c r="E330" t="s">
        <v>284</v>
      </c>
      <c r="F330" t="s">
        <v>1114</v>
      </c>
      <c r="G330">
        <v>2</v>
      </c>
      <c r="H330">
        <v>2</v>
      </c>
      <c r="I330">
        <v>3</v>
      </c>
      <c r="J330" t="s">
        <v>19</v>
      </c>
      <c r="K330" t="s">
        <v>20</v>
      </c>
      <c r="L330" t="s">
        <v>1121</v>
      </c>
      <c r="M330" s="1">
        <v>46100</v>
      </c>
      <c r="N330" s="1">
        <v>46136</v>
      </c>
      <c r="O330" t="s">
        <v>1122</v>
      </c>
    </row>
    <row r="331" spans="1:15" x14ac:dyDescent="0.3">
      <c r="A331" t="s">
        <v>1123</v>
      </c>
      <c r="B331" s="3">
        <v>30000000</v>
      </c>
      <c r="C331" t="s">
        <v>820</v>
      </c>
      <c r="D331" t="s">
        <v>284</v>
      </c>
      <c r="E331" t="s">
        <v>284</v>
      </c>
      <c r="F331" t="s">
        <v>289</v>
      </c>
      <c r="G331">
        <v>5</v>
      </c>
      <c r="H331">
        <v>6</v>
      </c>
      <c r="I331">
        <v>6</v>
      </c>
      <c r="J331" t="s">
        <v>70</v>
      </c>
      <c r="K331" t="s">
        <v>20</v>
      </c>
      <c r="L331" t="s">
        <v>1124</v>
      </c>
      <c r="M331" s="1">
        <v>46115</v>
      </c>
      <c r="N331" s="1">
        <v>46136</v>
      </c>
      <c r="O331" t="s">
        <v>1125</v>
      </c>
    </row>
    <row r="332" spans="1:15" x14ac:dyDescent="0.3">
      <c r="A332" t="s">
        <v>1126</v>
      </c>
      <c r="B332" s="3">
        <v>17000000</v>
      </c>
      <c r="C332" t="s">
        <v>820</v>
      </c>
      <c r="D332" t="s">
        <v>284</v>
      </c>
      <c r="E332" t="s">
        <v>284</v>
      </c>
      <c r="F332" t="s">
        <v>289</v>
      </c>
      <c r="G332">
        <v>5</v>
      </c>
      <c r="H332">
        <v>6</v>
      </c>
      <c r="I332">
        <v>6</v>
      </c>
      <c r="J332" t="s">
        <v>29</v>
      </c>
      <c r="K332" t="s">
        <v>20</v>
      </c>
      <c r="L332" t="s">
        <v>1127</v>
      </c>
      <c r="M332" s="1">
        <v>46129</v>
      </c>
      <c r="N332" s="1">
        <v>46135</v>
      </c>
      <c r="O332" t="s">
        <v>1128</v>
      </c>
    </row>
    <row r="333" spans="1:15" x14ac:dyDescent="0.3">
      <c r="A333" t="s">
        <v>1129</v>
      </c>
      <c r="B333" s="3">
        <v>3600000</v>
      </c>
      <c r="C333" t="s">
        <v>820</v>
      </c>
      <c r="D333" t="s">
        <v>325</v>
      </c>
      <c r="E333" t="s">
        <v>1130</v>
      </c>
      <c r="F333" t="s">
        <v>1131</v>
      </c>
      <c r="G333">
        <v>1</v>
      </c>
      <c r="H333">
        <v>1</v>
      </c>
      <c r="I333">
        <v>1</v>
      </c>
      <c r="J333" t="s">
        <v>19</v>
      </c>
      <c r="K333" t="s">
        <v>20</v>
      </c>
      <c r="L333" t="s">
        <v>1132</v>
      </c>
      <c r="M333" s="1">
        <v>46137</v>
      </c>
      <c r="N333" s="1">
        <v>46137</v>
      </c>
      <c r="O333" t="s">
        <v>1133</v>
      </c>
    </row>
    <row r="334" spans="1:15" x14ac:dyDescent="0.3">
      <c r="A334" t="s">
        <v>183</v>
      </c>
      <c r="B334" s="3">
        <v>10000000</v>
      </c>
      <c r="C334" t="s">
        <v>820</v>
      </c>
      <c r="D334" t="s">
        <v>325</v>
      </c>
      <c r="E334" t="s">
        <v>1130</v>
      </c>
      <c r="F334" t="s">
        <v>1134</v>
      </c>
      <c r="G334">
        <v>4</v>
      </c>
      <c r="H334">
        <v>4</v>
      </c>
      <c r="I334">
        <v>5</v>
      </c>
      <c r="J334" t="s">
        <v>29</v>
      </c>
      <c r="K334" t="s">
        <v>20</v>
      </c>
      <c r="L334" t="s">
        <v>1135</v>
      </c>
      <c r="M334" s="1">
        <v>45987</v>
      </c>
      <c r="N334" s="1">
        <v>46136</v>
      </c>
      <c r="O334" t="s">
        <v>1136</v>
      </c>
    </row>
    <row r="335" spans="1:15" x14ac:dyDescent="0.3">
      <c r="A335" t="s">
        <v>77</v>
      </c>
      <c r="B335" s="3">
        <v>13000000</v>
      </c>
      <c r="C335" t="s">
        <v>820</v>
      </c>
      <c r="D335" t="s">
        <v>325</v>
      </c>
      <c r="E335" t="s">
        <v>1130</v>
      </c>
      <c r="F335" t="s">
        <v>326</v>
      </c>
      <c r="G335">
        <v>4</v>
      </c>
      <c r="H335">
        <v>4</v>
      </c>
      <c r="I335">
        <v>5</v>
      </c>
      <c r="J335" t="s">
        <v>29</v>
      </c>
      <c r="K335" t="s">
        <v>20</v>
      </c>
      <c r="L335" t="s">
        <v>1137</v>
      </c>
      <c r="M335" s="1">
        <v>46093</v>
      </c>
      <c r="N335" s="1">
        <v>46136</v>
      </c>
      <c r="O335" t="s">
        <v>1138</v>
      </c>
    </row>
    <row r="336" spans="1:15" x14ac:dyDescent="0.3">
      <c r="A336" t="s">
        <v>1139</v>
      </c>
      <c r="B336" s="3">
        <v>7500000</v>
      </c>
      <c r="C336" t="s">
        <v>820</v>
      </c>
      <c r="D336" t="s">
        <v>325</v>
      </c>
      <c r="E336" t="s">
        <v>1130</v>
      </c>
      <c r="F336" t="s">
        <v>326</v>
      </c>
      <c r="G336">
        <v>4</v>
      </c>
      <c r="H336">
        <v>4</v>
      </c>
      <c r="I336">
        <v>5</v>
      </c>
      <c r="J336" t="s">
        <v>29</v>
      </c>
      <c r="K336" t="s">
        <v>20</v>
      </c>
      <c r="L336" t="s">
        <v>1140</v>
      </c>
      <c r="M336" s="1">
        <v>46062</v>
      </c>
      <c r="N336" s="1">
        <v>46136</v>
      </c>
      <c r="O336" t="s">
        <v>1141</v>
      </c>
    </row>
    <row r="337" spans="1:15" x14ac:dyDescent="0.3">
      <c r="A337" t="s">
        <v>497</v>
      </c>
      <c r="B337" s="3">
        <v>14000000</v>
      </c>
      <c r="C337" t="s">
        <v>820</v>
      </c>
      <c r="D337" t="s">
        <v>325</v>
      </c>
      <c r="E337" t="s">
        <v>1130</v>
      </c>
      <c r="F337" t="s">
        <v>326</v>
      </c>
      <c r="G337">
        <v>4</v>
      </c>
      <c r="H337">
        <v>4</v>
      </c>
      <c r="I337">
        <v>5</v>
      </c>
      <c r="J337" t="s">
        <v>70</v>
      </c>
      <c r="K337" t="s">
        <v>20</v>
      </c>
      <c r="L337" t="s">
        <v>1142</v>
      </c>
      <c r="M337" s="1">
        <v>46064</v>
      </c>
      <c r="N337" s="1">
        <v>46136</v>
      </c>
      <c r="O337" t="s">
        <v>1143</v>
      </c>
    </row>
    <row r="338" spans="1:15" x14ac:dyDescent="0.3">
      <c r="A338" t="s">
        <v>133</v>
      </c>
      <c r="B338" s="3">
        <v>10000000</v>
      </c>
      <c r="C338" t="s">
        <v>820</v>
      </c>
      <c r="D338" t="s">
        <v>325</v>
      </c>
      <c r="E338" t="s">
        <v>1130</v>
      </c>
      <c r="F338" t="s">
        <v>330</v>
      </c>
      <c r="G338">
        <v>4</v>
      </c>
      <c r="H338">
        <v>4</v>
      </c>
      <c r="I338">
        <v>5</v>
      </c>
      <c r="J338" t="s">
        <v>29</v>
      </c>
      <c r="K338" t="s">
        <v>20</v>
      </c>
      <c r="L338" t="s">
        <v>1144</v>
      </c>
      <c r="M338" s="1">
        <v>46068</v>
      </c>
      <c r="N338" s="1">
        <v>46136</v>
      </c>
      <c r="O338" t="s">
        <v>1145</v>
      </c>
    </row>
    <row r="339" spans="1:15" x14ac:dyDescent="0.3">
      <c r="A339" t="s">
        <v>1146</v>
      </c>
      <c r="B339" s="3">
        <v>9000000</v>
      </c>
      <c r="C339" t="s">
        <v>820</v>
      </c>
      <c r="D339" t="s">
        <v>325</v>
      </c>
      <c r="E339" t="s">
        <v>1130</v>
      </c>
      <c r="F339" t="s">
        <v>326</v>
      </c>
      <c r="G339">
        <v>4</v>
      </c>
      <c r="H339">
        <v>4</v>
      </c>
      <c r="I339">
        <v>5</v>
      </c>
      <c r="J339" t="s">
        <v>29</v>
      </c>
      <c r="K339" t="s">
        <v>20</v>
      </c>
      <c r="L339" t="s">
        <v>1147</v>
      </c>
      <c r="M339" s="1">
        <v>46051</v>
      </c>
      <c r="N339" s="1">
        <v>46136</v>
      </c>
      <c r="O339" t="s">
        <v>1148</v>
      </c>
    </row>
    <row r="340" spans="1:15" x14ac:dyDescent="0.3">
      <c r="A340" t="s">
        <v>366</v>
      </c>
      <c r="B340" s="3">
        <v>9500000</v>
      </c>
      <c r="C340" t="s">
        <v>820</v>
      </c>
      <c r="D340" t="s">
        <v>325</v>
      </c>
      <c r="E340" t="s">
        <v>1130</v>
      </c>
      <c r="F340" t="s">
        <v>330</v>
      </c>
      <c r="G340">
        <v>4</v>
      </c>
      <c r="H340">
        <v>4</v>
      </c>
      <c r="I340">
        <v>5</v>
      </c>
      <c r="J340" t="s">
        <v>29</v>
      </c>
      <c r="K340" t="s">
        <v>20</v>
      </c>
      <c r="L340" t="s">
        <v>1149</v>
      </c>
      <c r="M340" s="1">
        <v>46068</v>
      </c>
      <c r="N340" s="1">
        <v>46136</v>
      </c>
      <c r="O340" t="s">
        <v>1150</v>
      </c>
    </row>
    <row r="341" spans="1:15" x14ac:dyDescent="0.3">
      <c r="A341" t="s">
        <v>340</v>
      </c>
      <c r="B341" s="3">
        <v>25000000</v>
      </c>
      <c r="C341" t="s">
        <v>820</v>
      </c>
      <c r="D341" t="s">
        <v>325</v>
      </c>
      <c r="E341" t="s">
        <v>1130</v>
      </c>
      <c r="F341" t="s">
        <v>326</v>
      </c>
      <c r="G341">
        <v>5</v>
      </c>
      <c r="H341">
        <v>5</v>
      </c>
      <c r="I341">
        <v>6</v>
      </c>
      <c r="J341" t="s">
        <v>38</v>
      </c>
      <c r="K341" t="s">
        <v>20</v>
      </c>
      <c r="L341" t="s">
        <v>1151</v>
      </c>
      <c r="M341" s="1">
        <v>46093</v>
      </c>
      <c r="N341" s="1">
        <v>46136</v>
      </c>
      <c r="O341" t="s">
        <v>1152</v>
      </c>
    </row>
    <row r="342" spans="1:15" x14ac:dyDescent="0.3">
      <c r="A342" t="s">
        <v>77</v>
      </c>
      <c r="B342" s="3">
        <v>8000000</v>
      </c>
      <c r="C342" t="s">
        <v>820</v>
      </c>
      <c r="D342" t="s">
        <v>325</v>
      </c>
      <c r="E342" t="s">
        <v>1130</v>
      </c>
      <c r="F342" t="s">
        <v>1153</v>
      </c>
      <c r="G342">
        <v>4</v>
      </c>
      <c r="H342">
        <v>4</v>
      </c>
      <c r="I342">
        <v>5</v>
      </c>
      <c r="J342" t="s">
        <v>29</v>
      </c>
      <c r="K342" t="s">
        <v>20</v>
      </c>
      <c r="L342" t="s">
        <v>1154</v>
      </c>
      <c r="M342" s="1">
        <v>45955</v>
      </c>
      <c r="N342" s="1">
        <v>46136</v>
      </c>
      <c r="O342" t="s">
        <v>1155</v>
      </c>
    </row>
    <row r="343" spans="1:15" x14ac:dyDescent="0.3">
      <c r="A343" t="s">
        <v>1156</v>
      </c>
      <c r="B343" s="3">
        <v>8000000</v>
      </c>
      <c r="C343" t="s">
        <v>820</v>
      </c>
      <c r="D343" t="s">
        <v>325</v>
      </c>
      <c r="E343" t="s">
        <v>1130</v>
      </c>
      <c r="F343" t="s">
        <v>1157</v>
      </c>
      <c r="G343">
        <v>4</v>
      </c>
      <c r="H343">
        <v>4</v>
      </c>
      <c r="I343">
        <v>5</v>
      </c>
      <c r="J343" t="s">
        <v>38</v>
      </c>
      <c r="K343" t="s">
        <v>20</v>
      </c>
      <c r="L343" t="s">
        <v>1158</v>
      </c>
      <c r="M343" s="1">
        <v>46132</v>
      </c>
      <c r="N343" s="1">
        <v>46136</v>
      </c>
      <c r="O343" t="s">
        <v>1159</v>
      </c>
    </row>
    <row r="344" spans="1:15" x14ac:dyDescent="0.3">
      <c r="A344" t="s">
        <v>1160</v>
      </c>
      <c r="B344" s="3">
        <v>8500000</v>
      </c>
      <c r="C344" t="s">
        <v>820</v>
      </c>
      <c r="D344" t="s">
        <v>325</v>
      </c>
      <c r="E344" t="s">
        <v>1130</v>
      </c>
      <c r="F344" t="s">
        <v>1161</v>
      </c>
      <c r="G344">
        <v>2</v>
      </c>
      <c r="H344">
        <v>2</v>
      </c>
      <c r="I344">
        <v>2</v>
      </c>
      <c r="J344" t="s">
        <v>19</v>
      </c>
      <c r="K344" t="s">
        <v>20</v>
      </c>
      <c r="L344" t="s">
        <v>1162</v>
      </c>
      <c r="M344" s="1">
        <v>46113</v>
      </c>
      <c r="N344" s="1">
        <v>46136</v>
      </c>
      <c r="O344" t="s">
        <v>1163</v>
      </c>
    </row>
    <row r="345" spans="1:15" x14ac:dyDescent="0.3">
      <c r="A345" t="s">
        <v>1164</v>
      </c>
      <c r="B345" s="3">
        <v>4500000</v>
      </c>
      <c r="C345" t="s">
        <v>820</v>
      </c>
      <c r="D345" t="s">
        <v>325</v>
      </c>
      <c r="E345" t="s">
        <v>1130</v>
      </c>
      <c r="F345" t="s">
        <v>1165</v>
      </c>
      <c r="G345">
        <v>2</v>
      </c>
      <c r="H345">
        <v>2</v>
      </c>
      <c r="I345">
        <v>3</v>
      </c>
      <c r="J345" t="s">
        <v>19</v>
      </c>
      <c r="K345" t="s">
        <v>20</v>
      </c>
      <c r="L345" t="s">
        <v>1166</v>
      </c>
      <c r="M345" s="1">
        <v>46135</v>
      </c>
      <c r="N345" s="1">
        <v>46136</v>
      </c>
      <c r="O345" t="s">
        <v>1167</v>
      </c>
    </row>
    <row r="346" spans="1:15" x14ac:dyDescent="0.3">
      <c r="A346" t="s">
        <v>1168</v>
      </c>
      <c r="B346" s="3">
        <v>6000000</v>
      </c>
      <c r="C346" t="s">
        <v>820</v>
      </c>
      <c r="D346" t="s">
        <v>325</v>
      </c>
      <c r="E346" t="s">
        <v>1130</v>
      </c>
      <c r="F346" t="s">
        <v>1169</v>
      </c>
      <c r="G346">
        <v>3</v>
      </c>
      <c r="H346">
        <v>3</v>
      </c>
      <c r="I346">
        <v>4</v>
      </c>
      <c r="J346" t="s">
        <v>19</v>
      </c>
      <c r="K346" t="s">
        <v>20</v>
      </c>
      <c r="L346" t="s">
        <v>1170</v>
      </c>
      <c r="M346" s="1">
        <v>46131</v>
      </c>
      <c r="N346" s="1">
        <v>46136</v>
      </c>
      <c r="O346" t="s">
        <v>1171</v>
      </c>
    </row>
    <row r="347" spans="1:15" x14ac:dyDescent="0.3">
      <c r="A347" t="s">
        <v>1172</v>
      </c>
      <c r="B347" s="3">
        <v>11000000</v>
      </c>
      <c r="C347" t="s">
        <v>820</v>
      </c>
      <c r="D347" t="s">
        <v>325</v>
      </c>
      <c r="E347" t="s">
        <v>1130</v>
      </c>
      <c r="F347" t="s">
        <v>1165</v>
      </c>
      <c r="G347">
        <v>4</v>
      </c>
      <c r="H347">
        <v>4</v>
      </c>
      <c r="I347">
        <v>5</v>
      </c>
      <c r="J347" t="s">
        <v>29</v>
      </c>
      <c r="K347" t="s">
        <v>20</v>
      </c>
      <c r="L347" t="s">
        <v>1173</v>
      </c>
      <c r="M347" s="1">
        <v>46135</v>
      </c>
      <c r="N347" s="1">
        <v>46136</v>
      </c>
      <c r="O347" t="s">
        <v>1174</v>
      </c>
    </row>
    <row r="348" spans="1:15" x14ac:dyDescent="0.3">
      <c r="A348" t="s">
        <v>1175</v>
      </c>
      <c r="B348" s="3">
        <v>7500000</v>
      </c>
      <c r="C348" t="s">
        <v>820</v>
      </c>
      <c r="D348" t="s">
        <v>325</v>
      </c>
      <c r="E348" t="s">
        <v>1130</v>
      </c>
      <c r="F348" t="s">
        <v>1176</v>
      </c>
      <c r="G348">
        <v>4</v>
      </c>
      <c r="H348">
        <v>4</v>
      </c>
      <c r="I348">
        <v>5</v>
      </c>
      <c r="J348" t="s">
        <v>29</v>
      </c>
      <c r="K348" t="s">
        <v>20</v>
      </c>
      <c r="L348" t="s">
        <v>1177</v>
      </c>
      <c r="M348" s="1">
        <v>46104</v>
      </c>
      <c r="N348" s="1">
        <v>46136</v>
      </c>
      <c r="O348" t="s">
        <v>1178</v>
      </c>
    </row>
    <row r="349" spans="1:15" x14ac:dyDescent="0.3">
      <c r="A349" t="s">
        <v>1179</v>
      </c>
      <c r="B349" s="3">
        <v>25000000</v>
      </c>
      <c r="C349" t="s">
        <v>820</v>
      </c>
      <c r="D349" t="s">
        <v>325</v>
      </c>
      <c r="E349" t="s">
        <v>1130</v>
      </c>
      <c r="F349" t="s">
        <v>1165</v>
      </c>
      <c r="G349">
        <v>4</v>
      </c>
      <c r="H349">
        <v>4</v>
      </c>
      <c r="I349">
        <v>5</v>
      </c>
      <c r="J349" t="s">
        <v>70</v>
      </c>
      <c r="K349" t="s">
        <v>20</v>
      </c>
      <c r="L349" t="s">
        <v>1180</v>
      </c>
      <c r="M349" s="1">
        <v>46117</v>
      </c>
      <c r="N349" s="1">
        <v>46136</v>
      </c>
      <c r="O349" t="s">
        <v>1181</v>
      </c>
    </row>
    <row r="350" spans="1:15" x14ac:dyDescent="0.3">
      <c r="A350" t="s">
        <v>73</v>
      </c>
      <c r="B350" s="3">
        <v>11000000</v>
      </c>
      <c r="C350" t="s">
        <v>820</v>
      </c>
      <c r="D350" t="s">
        <v>389</v>
      </c>
      <c r="E350" t="s">
        <v>389</v>
      </c>
      <c r="F350" t="s">
        <v>1182</v>
      </c>
      <c r="G350">
        <v>4</v>
      </c>
      <c r="H350">
        <v>4</v>
      </c>
      <c r="I350">
        <v>5</v>
      </c>
      <c r="J350" t="s">
        <v>38</v>
      </c>
      <c r="K350" t="s">
        <v>20</v>
      </c>
      <c r="L350" t="s">
        <v>1183</v>
      </c>
      <c r="M350" s="1">
        <v>46129</v>
      </c>
      <c r="N350" s="1">
        <v>46136</v>
      </c>
      <c r="O350" t="s">
        <v>1184</v>
      </c>
    </row>
    <row r="351" spans="1:15" x14ac:dyDescent="0.3">
      <c r="A351" t="s">
        <v>373</v>
      </c>
      <c r="B351" s="3">
        <v>10000000</v>
      </c>
      <c r="C351" t="s">
        <v>820</v>
      </c>
      <c r="D351" t="s">
        <v>389</v>
      </c>
      <c r="E351" t="s">
        <v>389</v>
      </c>
      <c r="F351" t="s">
        <v>1185</v>
      </c>
      <c r="G351">
        <v>3</v>
      </c>
      <c r="H351">
        <v>3</v>
      </c>
      <c r="I351">
        <v>4</v>
      </c>
      <c r="J351" t="s">
        <v>19</v>
      </c>
      <c r="K351" t="s">
        <v>20</v>
      </c>
      <c r="L351" t="s">
        <v>1186</v>
      </c>
      <c r="M351" s="1">
        <v>46098</v>
      </c>
      <c r="N351" s="1">
        <v>46136</v>
      </c>
      <c r="O351" t="s">
        <v>1187</v>
      </c>
    </row>
    <row r="352" spans="1:15" x14ac:dyDescent="0.3">
      <c r="A352" t="s">
        <v>227</v>
      </c>
      <c r="B352" s="3">
        <v>5000000</v>
      </c>
      <c r="C352" t="s">
        <v>820</v>
      </c>
      <c r="D352" t="s">
        <v>389</v>
      </c>
      <c r="E352" t="s">
        <v>389</v>
      </c>
      <c r="F352" t="s">
        <v>1188</v>
      </c>
      <c r="G352">
        <v>2</v>
      </c>
      <c r="H352">
        <v>2</v>
      </c>
      <c r="I352">
        <v>2</v>
      </c>
      <c r="J352" t="s">
        <v>19</v>
      </c>
      <c r="K352" t="s">
        <v>20</v>
      </c>
      <c r="L352" t="s">
        <v>1189</v>
      </c>
      <c r="M352" s="1">
        <v>46080</v>
      </c>
      <c r="N352" s="1">
        <v>46136</v>
      </c>
      <c r="O352" t="s">
        <v>1190</v>
      </c>
    </row>
    <row r="353" spans="1:15" x14ac:dyDescent="0.3">
      <c r="A353" t="s">
        <v>1191</v>
      </c>
      <c r="B353" s="3">
        <v>13000000</v>
      </c>
      <c r="C353" t="s">
        <v>820</v>
      </c>
      <c r="D353" t="s">
        <v>389</v>
      </c>
      <c r="E353" t="s">
        <v>389</v>
      </c>
      <c r="F353" t="s">
        <v>1192</v>
      </c>
      <c r="G353">
        <v>4</v>
      </c>
      <c r="H353">
        <v>4</v>
      </c>
      <c r="I353">
        <v>5</v>
      </c>
      <c r="J353" t="s">
        <v>29</v>
      </c>
      <c r="K353" t="s">
        <v>20</v>
      </c>
      <c r="L353" t="s">
        <v>1193</v>
      </c>
      <c r="M353" s="1">
        <v>46102</v>
      </c>
      <c r="N353" s="1">
        <v>46136</v>
      </c>
      <c r="O353" t="s">
        <v>1194</v>
      </c>
    </row>
    <row r="354" spans="1:15" x14ac:dyDescent="0.3">
      <c r="A354" t="s">
        <v>1195</v>
      </c>
      <c r="B354" s="3">
        <v>10000000</v>
      </c>
      <c r="C354" t="s">
        <v>820</v>
      </c>
      <c r="D354" t="s">
        <v>389</v>
      </c>
      <c r="E354" t="s">
        <v>389</v>
      </c>
      <c r="F354" t="s">
        <v>1196</v>
      </c>
      <c r="G354">
        <v>4</v>
      </c>
      <c r="H354">
        <v>4</v>
      </c>
      <c r="I354">
        <v>5</v>
      </c>
      <c r="J354" t="s">
        <v>29</v>
      </c>
      <c r="K354" t="s">
        <v>20</v>
      </c>
      <c r="L354" t="s">
        <v>1197</v>
      </c>
      <c r="M354" s="1">
        <v>46110</v>
      </c>
      <c r="N354" s="1">
        <v>46136</v>
      </c>
      <c r="O354" t="s">
        <v>1198</v>
      </c>
    </row>
    <row r="355" spans="1:15" x14ac:dyDescent="0.3">
      <c r="A355" t="s">
        <v>1199</v>
      </c>
      <c r="B355" s="3">
        <v>10000000</v>
      </c>
      <c r="C355" t="s">
        <v>820</v>
      </c>
      <c r="D355" t="s">
        <v>389</v>
      </c>
      <c r="E355" t="s">
        <v>389</v>
      </c>
      <c r="F355" t="s">
        <v>1200</v>
      </c>
      <c r="G355">
        <v>3</v>
      </c>
      <c r="H355">
        <v>3</v>
      </c>
      <c r="J355" t="s">
        <v>19</v>
      </c>
      <c r="K355" t="s">
        <v>20</v>
      </c>
      <c r="L355" t="s">
        <v>1201</v>
      </c>
      <c r="M355" s="1">
        <v>46118</v>
      </c>
      <c r="N355" s="1">
        <v>46136</v>
      </c>
      <c r="O355" t="s">
        <v>1202</v>
      </c>
    </row>
    <row r="356" spans="1:15" x14ac:dyDescent="0.3">
      <c r="A356" t="s">
        <v>1203</v>
      </c>
      <c r="B356" s="3">
        <v>2000000</v>
      </c>
      <c r="C356" t="s">
        <v>820</v>
      </c>
      <c r="D356" t="s">
        <v>389</v>
      </c>
      <c r="E356" t="s">
        <v>389</v>
      </c>
      <c r="F356" t="s">
        <v>398</v>
      </c>
      <c r="G356">
        <v>1</v>
      </c>
      <c r="H356">
        <v>2</v>
      </c>
      <c r="I356">
        <v>2</v>
      </c>
      <c r="J356" t="s">
        <v>193</v>
      </c>
      <c r="K356" t="s">
        <v>20</v>
      </c>
      <c r="L356" t="s">
        <v>1204</v>
      </c>
      <c r="M356" s="1">
        <v>46130</v>
      </c>
      <c r="N356" s="1">
        <v>46136</v>
      </c>
      <c r="O356" t="s">
        <v>1205</v>
      </c>
    </row>
    <row r="357" spans="1:15" x14ac:dyDescent="0.3">
      <c r="A357" t="s">
        <v>208</v>
      </c>
      <c r="B357" s="3">
        <v>4500000</v>
      </c>
      <c r="C357" t="s">
        <v>820</v>
      </c>
      <c r="D357" t="s">
        <v>389</v>
      </c>
      <c r="E357" t="s">
        <v>389</v>
      </c>
      <c r="F357" t="s">
        <v>1206</v>
      </c>
      <c r="G357">
        <v>2</v>
      </c>
      <c r="H357">
        <v>3</v>
      </c>
      <c r="J357" t="s">
        <v>19</v>
      </c>
      <c r="K357" t="s">
        <v>20</v>
      </c>
      <c r="L357" t="s">
        <v>1207</v>
      </c>
      <c r="M357" s="1">
        <v>46067</v>
      </c>
      <c r="N357" s="1">
        <v>46136</v>
      </c>
      <c r="O357" t="s">
        <v>1208</v>
      </c>
    </row>
    <row r="358" spans="1:15" x14ac:dyDescent="0.3">
      <c r="A358" t="s">
        <v>1209</v>
      </c>
      <c r="B358" s="3">
        <v>3000000</v>
      </c>
      <c r="C358" t="s">
        <v>820</v>
      </c>
      <c r="D358" t="s">
        <v>389</v>
      </c>
      <c r="E358" t="s">
        <v>389</v>
      </c>
      <c r="F358" t="s">
        <v>1210</v>
      </c>
      <c r="G358">
        <v>4</v>
      </c>
      <c r="H358">
        <v>4</v>
      </c>
      <c r="I358">
        <v>4</v>
      </c>
      <c r="J358" t="s">
        <v>19</v>
      </c>
      <c r="K358" t="s">
        <v>20</v>
      </c>
      <c r="L358" t="s">
        <v>1211</v>
      </c>
      <c r="M358" s="1">
        <v>46102</v>
      </c>
      <c r="N358" s="1">
        <v>46136</v>
      </c>
      <c r="O358" t="s">
        <v>1212</v>
      </c>
    </row>
    <row r="359" spans="1:15" x14ac:dyDescent="0.3">
      <c r="A359" t="s">
        <v>1209</v>
      </c>
      <c r="B359" s="3">
        <v>3300000</v>
      </c>
      <c r="C359" t="s">
        <v>820</v>
      </c>
      <c r="D359" t="s">
        <v>389</v>
      </c>
      <c r="E359" t="s">
        <v>389</v>
      </c>
      <c r="F359" t="s">
        <v>1210</v>
      </c>
      <c r="G359">
        <v>4</v>
      </c>
      <c r="H359">
        <v>4</v>
      </c>
      <c r="I359">
        <v>5</v>
      </c>
      <c r="J359" t="s">
        <v>19</v>
      </c>
      <c r="K359" t="s">
        <v>20</v>
      </c>
      <c r="L359" t="s">
        <v>1213</v>
      </c>
      <c r="M359" s="1">
        <v>46102</v>
      </c>
      <c r="N359" s="1">
        <v>46136</v>
      </c>
      <c r="O359" t="s">
        <v>1214</v>
      </c>
    </row>
    <row r="360" spans="1:15" x14ac:dyDescent="0.3">
      <c r="A360" t="s">
        <v>545</v>
      </c>
      <c r="B360" s="3">
        <v>5000000</v>
      </c>
      <c r="C360" t="s">
        <v>820</v>
      </c>
      <c r="D360" t="s">
        <v>389</v>
      </c>
      <c r="E360" t="s">
        <v>389</v>
      </c>
      <c r="F360" t="s">
        <v>412</v>
      </c>
      <c r="G360">
        <v>3</v>
      </c>
      <c r="H360">
        <v>3</v>
      </c>
      <c r="I360">
        <v>4</v>
      </c>
      <c r="J360" t="s">
        <v>193</v>
      </c>
      <c r="K360" t="s">
        <v>20</v>
      </c>
      <c r="L360" t="s">
        <v>1215</v>
      </c>
      <c r="M360" s="1">
        <v>46086</v>
      </c>
      <c r="N360" s="1">
        <v>46136</v>
      </c>
      <c r="O360" t="s">
        <v>1216</v>
      </c>
    </row>
    <row r="361" spans="1:15" x14ac:dyDescent="0.3">
      <c r="A361" t="s">
        <v>1217</v>
      </c>
      <c r="B361" s="3">
        <v>2200000</v>
      </c>
      <c r="C361" t="s">
        <v>820</v>
      </c>
      <c r="D361" t="s">
        <v>389</v>
      </c>
      <c r="E361" t="s">
        <v>389</v>
      </c>
      <c r="F361" t="s">
        <v>1218</v>
      </c>
      <c r="G361">
        <v>1</v>
      </c>
      <c r="H361">
        <v>1</v>
      </c>
      <c r="I361">
        <v>1</v>
      </c>
      <c r="J361" t="s">
        <v>19</v>
      </c>
      <c r="K361" t="s">
        <v>20</v>
      </c>
      <c r="L361" t="s">
        <v>1219</v>
      </c>
      <c r="M361" s="1">
        <v>46098</v>
      </c>
      <c r="N361" s="1">
        <v>46136</v>
      </c>
      <c r="O361" t="s">
        <v>1220</v>
      </c>
    </row>
    <row r="362" spans="1:15" x14ac:dyDescent="0.3">
      <c r="A362" t="s">
        <v>15</v>
      </c>
      <c r="B362" s="3">
        <v>6000000</v>
      </c>
      <c r="C362" t="s">
        <v>820</v>
      </c>
      <c r="D362" t="s">
        <v>389</v>
      </c>
      <c r="E362" t="s">
        <v>389</v>
      </c>
      <c r="F362" t="s">
        <v>1221</v>
      </c>
      <c r="G362">
        <v>3</v>
      </c>
      <c r="H362">
        <v>3</v>
      </c>
      <c r="I362">
        <v>4</v>
      </c>
      <c r="J362" t="s">
        <v>19</v>
      </c>
      <c r="K362" t="s">
        <v>20</v>
      </c>
      <c r="L362" t="s">
        <v>1222</v>
      </c>
      <c r="M362" s="1">
        <v>46098</v>
      </c>
      <c r="N362" s="1">
        <v>46136</v>
      </c>
      <c r="O362" t="s">
        <v>1223</v>
      </c>
    </row>
    <row r="363" spans="1:15" x14ac:dyDescent="0.3">
      <c r="A363" t="s">
        <v>545</v>
      </c>
      <c r="B363" s="3">
        <v>3500000</v>
      </c>
      <c r="C363" t="s">
        <v>820</v>
      </c>
      <c r="D363" t="s">
        <v>389</v>
      </c>
      <c r="E363" t="s">
        <v>389</v>
      </c>
      <c r="F363" t="s">
        <v>1224</v>
      </c>
      <c r="G363">
        <v>3</v>
      </c>
      <c r="H363">
        <v>3</v>
      </c>
      <c r="I363">
        <v>4</v>
      </c>
      <c r="J363" t="s">
        <v>193</v>
      </c>
      <c r="K363" t="s">
        <v>20</v>
      </c>
      <c r="L363" t="s">
        <v>1225</v>
      </c>
      <c r="M363" s="1">
        <v>46094</v>
      </c>
      <c r="N363" s="1">
        <v>46136</v>
      </c>
      <c r="O363" t="s">
        <v>1226</v>
      </c>
    </row>
    <row r="364" spans="1:15" x14ac:dyDescent="0.3">
      <c r="A364" t="s">
        <v>1227</v>
      </c>
      <c r="B364" s="3">
        <v>4000000</v>
      </c>
      <c r="C364" t="s">
        <v>820</v>
      </c>
      <c r="D364" t="s">
        <v>389</v>
      </c>
      <c r="E364" t="s">
        <v>389</v>
      </c>
      <c r="F364" t="s">
        <v>1228</v>
      </c>
      <c r="G364">
        <v>2</v>
      </c>
      <c r="H364">
        <v>2</v>
      </c>
      <c r="I364">
        <v>2</v>
      </c>
      <c r="J364" t="s">
        <v>38</v>
      </c>
      <c r="K364" t="s">
        <v>20</v>
      </c>
      <c r="L364" t="s">
        <v>1229</v>
      </c>
      <c r="M364" s="1">
        <v>46081</v>
      </c>
      <c r="N364" s="1">
        <v>46136</v>
      </c>
      <c r="O364" t="s">
        <v>1230</v>
      </c>
    </row>
    <row r="365" spans="1:15" x14ac:dyDescent="0.3">
      <c r="A365" t="s">
        <v>1231</v>
      </c>
      <c r="B365" s="3">
        <v>4000000</v>
      </c>
      <c r="C365" t="s">
        <v>820</v>
      </c>
      <c r="D365" t="s">
        <v>389</v>
      </c>
      <c r="E365" t="s">
        <v>389</v>
      </c>
      <c r="F365" t="s">
        <v>1232</v>
      </c>
      <c r="G365">
        <v>3</v>
      </c>
      <c r="H365">
        <v>3</v>
      </c>
      <c r="I365">
        <v>4</v>
      </c>
      <c r="J365" t="s">
        <v>19</v>
      </c>
      <c r="K365" t="s">
        <v>20</v>
      </c>
      <c r="L365" t="s">
        <v>1233</v>
      </c>
      <c r="M365" s="1">
        <v>46078</v>
      </c>
      <c r="N365" s="1">
        <v>46136</v>
      </c>
      <c r="O365" t="s">
        <v>1234</v>
      </c>
    </row>
    <row r="366" spans="1:15" x14ac:dyDescent="0.3">
      <c r="A366" t="s">
        <v>138</v>
      </c>
      <c r="B366" s="3">
        <v>2500000</v>
      </c>
      <c r="C366" t="s">
        <v>820</v>
      </c>
      <c r="D366" t="s">
        <v>389</v>
      </c>
      <c r="E366" t="s">
        <v>389</v>
      </c>
      <c r="F366" t="s">
        <v>1235</v>
      </c>
      <c r="G366">
        <v>2</v>
      </c>
      <c r="H366">
        <v>2</v>
      </c>
      <c r="I366">
        <v>2</v>
      </c>
      <c r="J366" t="s">
        <v>19</v>
      </c>
      <c r="K366" t="s">
        <v>20</v>
      </c>
      <c r="L366" t="s">
        <v>1236</v>
      </c>
      <c r="M366" s="1">
        <v>46078</v>
      </c>
      <c r="N366" s="1">
        <v>46136</v>
      </c>
      <c r="O366" t="s">
        <v>1237</v>
      </c>
    </row>
    <row r="367" spans="1:15" x14ac:dyDescent="0.3">
      <c r="A367" t="s">
        <v>903</v>
      </c>
      <c r="B367" s="3">
        <v>4500000</v>
      </c>
      <c r="C367" t="s">
        <v>820</v>
      </c>
      <c r="D367" t="s">
        <v>389</v>
      </c>
      <c r="E367" t="s">
        <v>389</v>
      </c>
      <c r="F367" t="s">
        <v>398</v>
      </c>
      <c r="G367">
        <v>3</v>
      </c>
      <c r="H367">
        <v>3</v>
      </c>
      <c r="I367">
        <v>4</v>
      </c>
      <c r="J367" t="s">
        <v>19</v>
      </c>
      <c r="K367" t="s">
        <v>20</v>
      </c>
      <c r="L367" t="s">
        <v>1238</v>
      </c>
      <c r="M367" s="1">
        <v>46116</v>
      </c>
      <c r="N367" s="1">
        <v>46135</v>
      </c>
      <c r="O367" t="s">
        <v>1239</v>
      </c>
    </row>
    <row r="368" spans="1:15" x14ac:dyDescent="0.3">
      <c r="A368" t="s">
        <v>133</v>
      </c>
      <c r="B368" s="3">
        <v>9000000</v>
      </c>
      <c r="C368" t="s">
        <v>820</v>
      </c>
      <c r="D368" t="s">
        <v>389</v>
      </c>
      <c r="E368" t="s">
        <v>389</v>
      </c>
      <c r="F368" t="s">
        <v>1240</v>
      </c>
      <c r="G368">
        <v>4</v>
      </c>
      <c r="H368">
        <v>4</v>
      </c>
      <c r="I368">
        <v>5</v>
      </c>
      <c r="J368" t="s">
        <v>29</v>
      </c>
      <c r="K368" t="s">
        <v>20</v>
      </c>
      <c r="L368" t="s">
        <v>1241</v>
      </c>
      <c r="M368" s="1">
        <v>45982</v>
      </c>
      <c r="N368" s="1">
        <v>46136</v>
      </c>
      <c r="O368" t="s">
        <v>1242</v>
      </c>
    </row>
    <row r="369" spans="1:15" x14ac:dyDescent="0.3">
      <c r="A369" t="s">
        <v>138</v>
      </c>
      <c r="B369" s="3">
        <v>5000000</v>
      </c>
      <c r="C369" t="s">
        <v>820</v>
      </c>
      <c r="D369" t="s">
        <v>389</v>
      </c>
      <c r="E369" t="s">
        <v>389</v>
      </c>
      <c r="F369" t="s">
        <v>1243</v>
      </c>
      <c r="G369">
        <v>2</v>
      </c>
      <c r="H369">
        <v>2</v>
      </c>
      <c r="I369">
        <v>3</v>
      </c>
      <c r="J369" t="s">
        <v>19</v>
      </c>
      <c r="K369" t="s">
        <v>20</v>
      </c>
      <c r="L369" t="s">
        <v>1244</v>
      </c>
      <c r="M369" s="1">
        <v>46080</v>
      </c>
      <c r="N369" s="1">
        <v>46136</v>
      </c>
      <c r="O369" t="s">
        <v>1245</v>
      </c>
    </row>
    <row r="370" spans="1:15" x14ac:dyDescent="0.3">
      <c r="A370" t="s">
        <v>1246</v>
      </c>
      <c r="B370" s="3">
        <v>7500000</v>
      </c>
      <c r="C370" t="s">
        <v>820</v>
      </c>
      <c r="D370" t="s">
        <v>445</v>
      </c>
      <c r="E370" t="s">
        <v>445</v>
      </c>
      <c r="F370" t="s">
        <v>1247</v>
      </c>
      <c r="G370">
        <v>3</v>
      </c>
      <c r="H370">
        <v>4</v>
      </c>
      <c r="I370">
        <v>4</v>
      </c>
      <c r="J370" t="s">
        <v>91</v>
      </c>
      <c r="K370" t="s">
        <v>20</v>
      </c>
      <c r="L370" t="s">
        <v>1248</v>
      </c>
      <c r="M370" s="1">
        <v>46126</v>
      </c>
      <c r="N370" s="1">
        <v>46136</v>
      </c>
      <c r="O370" t="s">
        <v>1249</v>
      </c>
    </row>
    <row r="371" spans="1:15" x14ac:dyDescent="0.3">
      <c r="A371" t="s">
        <v>1246</v>
      </c>
      <c r="B371" s="3">
        <v>7500000</v>
      </c>
      <c r="C371" t="s">
        <v>820</v>
      </c>
      <c r="D371" t="s">
        <v>445</v>
      </c>
      <c r="E371" t="s">
        <v>445</v>
      </c>
      <c r="F371" t="s">
        <v>1247</v>
      </c>
      <c r="G371">
        <v>3</v>
      </c>
      <c r="H371">
        <v>4</v>
      </c>
      <c r="I371">
        <v>4</v>
      </c>
      <c r="J371" t="s">
        <v>91</v>
      </c>
      <c r="K371" t="s">
        <v>20</v>
      </c>
      <c r="L371" t="s">
        <v>1250</v>
      </c>
      <c r="M371" s="1">
        <v>46126</v>
      </c>
      <c r="N371" s="1">
        <v>46136</v>
      </c>
      <c r="O371" t="s">
        <v>1251</v>
      </c>
    </row>
    <row r="372" spans="1:15" x14ac:dyDescent="0.3">
      <c r="A372" t="s">
        <v>1246</v>
      </c>
      <c r="B372" s="3">
        <v>7500000</v>
      </c>
      <c r="C372" t="s">
        <v>820</v>
      </c>
      <c r="D372" t="s">
        <v>445</v>
      </c>
      <c r="E372" t="s">
        <v>445</v>
      </c>
      <c r="F372" t="s">
        <v>1247</v>
      </c>
      <c r="G372">
        <v>3</v>
      </c>
      <c r="H372">
        <v>4</v>
      </c>
      <c r="I372">
        <v>4</v>
      </c>
      <c r="J372" t="s">
        <v>91</v>
      </c>
      <c r="K372" t="s">
        <v>20</v>
      </c>
      <c r="L372" t="s">
        <v>1252</v>
      </c>
      <c r="M372" s="1">
        <v>46126</v>
      </c>
      <c r="N372" s="1">
        <v>46136</v>
      </c>
      <c r="O372" t="s">
        <v>1253</v>
      </c>
    </row>
    <row r="373" spans="1:15" x14ac:dyDescent="0.3">
      <c r="A373" t="s">
        <v>1254</v>
      </c>
      <c r="B373" s="3">
        <v>10000000</v>
      </c>
      <c r="C373" t="s">
        <v>820</v>
      </c>
      <c r="D373" t="s">
        <v>445</v>
      </c>
      <c r="E373" t="s">
        <v>445</v>
      </c>
      <c r="F373" t="s">
        <v>1255</v>
      </c>
      <c r="G373">
        <v>3</v>
      </c>
      <c r="H373">
        <v>3</v>
      </c>
      <c r="J373" t="s">
        <v>193</v>
      </c>
      <c r="K373" t="s">
        <v>20</v>
      </c>
      <c r="L373" t="s">
        <v>1256</v>
      </c>
      <c r="M373" s="1">
        <v>46081</v>
      </c>
      <c r="N373" s="1">
        <v>46136</v>
      </c>
      <c r="O373" t="s">
        <v>1257</v>
      </c>
    </row>
    <row r="374" spans="1:15" x14ac:dyDescent="0.3">
      <c r="A374" t="s">
        <v>1258</v>
      </c>
      <c r="B374" s="3">
        <v>10000000</v>
      </c>
      <c r="C374" t="s">
        <v>820</v>
      </c>
      <c r="D374" t="s">
        <v>445</v>
      </c>
      <c r="E374" t="s">
        <v>445</v>
      </c>
      <c r="F374" t="s">
        <v>1259</v>
      </c>
      <c r="G374">
        <v>4</v>
      </c>
      <c r="H374">
        <v>4</v>
      </c>
      <c r="J374" t="s">
        <v>193</v>
      </c>
      <c r="K374" t="s">
        <v>20</v>
      </c>
      <c r="L374" t="s">
        <v>1260</v>
      </c>
      <c r="M374" s="1">
        <v>46118</v>
      </c>
      <c r="N374" s="1">
        <v>46136</v>
      </c>
      <c r="O374" t="s">
        <v>1261</v>
      </c>
    </row>
    <row r="375" spans="1:15" x14ac:dyDescent="0.3">
      <c r="A375" t="s">
        <v>1262</v>
      </c>
      <c r="B375" s="3">
        <v>10000000</v>
      </c>
      <c r="C375" t="s">
        <v>820</v>
      </c>
      <c r="D375" t="s">
        <v>501</v>
      </c>
      <c r="E375" t="s">
        <v>501</v>
      </c>
      <c r="F375" t="s">
        <v>502</v>
      </c>
      <c r="G375">
        <v>2</v>
      </c>
      <c r="H375">
        <v>2</v>
      </c>
      <c r="J375" t="s">
        <v>29</v>
      </c>
      <c r="K375" t="s">
        <v>20</v>
      </c>
      <c r="L375" t="s">
        <v>1263</v>
      </c>
      <c r="M375" s="1">
        <v>46108</v>
      </c>
      <c r="N375" s="1">
        <v>46136</v>
      </c>
      <c r="O375" t="s">
        <v>1264</v>
      </c>
    </row>
    <row r="376" spans="1:15" x14ac:dyDescent="0.3">
      <c r="A376" t="s">
        <v>1265</v>
      </c>
      <c r="B376" s="3">
        <v>2200000</v>
      </c>
      <c r="C376" t="s">
        <v>820</v>
      </c>
      <c r="D376" t="s">
        <v>501</v>
      </c>
      <c r="E376" t="s">
        <v>501</v>
      </c>
      <c r="F376" t="s">
        <v>1266</v>
      </c>
      <c r="G376">
        <v>1</v>
      </c>
      <c r="H376">
        <v>1</v>
      </c>
      <c r="I376">
        <v>2</v>
      </c>
      <c r="J376" t="s">
        <v>19</v>
      </c>
      <c r="K376" t="s">
        <v>20</v>
      </c>
      <c r="L376" t="s">
        <v>1267</v>
      </c>
      <c r="M376" s="1">
        <v>46121</v>
      </c>
      <c r="N376" s="1">
        <v>46136</v>
      </c>
      <c r="O376" t="s">
        <v>1268</v>
      </c>
    </row>
    <row r="377" spans="1:15" x14ac:dyDescent="0.3">
      <c r="A377" t="s">
        <v>1269</v>
      </c>
      <c r="B377" s="3">
        <v>8000000</v>
      </c>
      <c r="C377" t="s">
        <v>820</v>
      </c>
      <c r="D377" t="s">
        <v>501</v>
      </c>
      <c r="E377" t="s">
        <v>501</v>
      </c>
      <c r="F377" t="s">
        <v>1270</v>
      </c>
      <c r="G377">
        <v>6</v>
      </c>
      <c r="H377">
        <v>6</v>
      </c>
      <c r="I377">
        <v>7</v>
      </c>
      <c r="J377" t="s">
        <v>38</v>
      </c>
      <c r="K377" t="s">
        <v>20</v>
      </c>
      <c r="L377" t="s">
        <v>1271</v>
      </c>
      <c r="M377" s="1">
        <v>46124</v>
      </c>
      <c r="N377" s="1">
        <v>46136</v>
      </c>
      <c r="O377" t="s">
        <v>1272</v>
      </c>
    </row>
    <row r="378" spans="1:15" x14ac:dyDescent="0.3">
      <c r="A378" t="s">
        <v>1273</v>
      </c>
      <c r="B378" s="3">
        <v>6000000</v>
      </c>
      <c r="C378" t="s">
        <v>820</v>
      </c>
      <c r="D378" t="s">
        <v>501</v>
      </c>
      <c r="E378" t="s">
        <v>501</v>
      </c>
      <c r="F378" t="s">
        <v>1274</v>
      </c>
      <c r="G378">
        <v>3</v>
      </c>
      <c r="H378">
        <v>3</v>
      </c>
      <c r="I378">
        <v>4</v>
      </c>
      <c r="J378" t="s">
        <v>193</v>
      </c>
      <c r="K378" t="s">
        <v>20</v>
      </c>
      <c r="L378" t="s">
        <v>1275</v>
      </c>
      <c r="M378" s="1">
        <v>46108</v>
      </c>
      <c r="N378" s="1">
        <v>46136</v>
      </c>
      <c r="O378" t="s">
        <v>1276</v>
      </c>
    </row>
    <row r="379" spans="1:15" x14ac:dyDescent="0.3">
      <c r="A379" t="s">
        <v>1277</v>
      </c>
      <c r="B379" s="3">
        <v>8000000</v>
      </c>
      <c r="C379" t="s">
        <v>820</v>
      </c>
      <c r="D379" t="s">
        <v>501</v>
      </c>
      <c r="E379" t="s">
        <v>501</v>
      </c>
      <c r="F379" t="s">
        <v>1278</v>
      </c>
      <c r="G379">
        <v>4</v>
      </c>
      <c r="H379">
        <v>4</v>
      </c>
      <c r="I379">
        <v>5</v>
      </c>
      <c r="J379" t="s">
        <v>70</v>
      </c>
      <c r="K379" t="s">
        <v>20</v>
      </c>
      <c r="L379" t="s">
        <v>1279</v>
      </c>
      <c r="M379" s="1">
        <v>46114</v>
      </c>
      <c r="N379" s="1">
        <v>46136</v>
      </c>
      <c r="O379" t="s">
        <v>1280</v>
      </c>
    </row>
    <row r="380" spans="1:15" x14ac:dyDescent="0.3">
      <c r="A380" t="s">
        <v>1281</v>
      </c>
      <c r="B380" s="3">
        <v>3500000</v>
      </c>
      <c r="C380" t="s">
        <v>820</v>
      </c>
      <c r="D380" t="s">
        <v>501</v>
      </c>
      <c r="E380" t="s">
        <v>501</v>
      </c>
      <c r="F380" t="s">
        <v>1282</v>
      </c>
      <c r="G380">
        <v>2</v>
      </c>
      <c r="H380">
        <v>3</v>
      </c>
      <c r="I380">
        <v>3</v>
      </c>
      <c r="J380" t="s">
        <v>19</v>
      </c>
      <c r="K380" t="s">
        <v>20</v>
      </c>
      <c r="L380" t="s">
        <v>1283</v>
      </c>
      <c r="M380" s="1">
        <v>46106</v>
      </c>
      <c r="N380" s="1">
        <v>46136</v>
      </c>
      <c r="O380" t="s">
        <v>1284</v>
      </c>
    </row>
    <row r="381" spans="1:15" x14ac:dyDescent="0.3">
      <c r="A381" t="s">
        <v>545</v>
      </c>
      <c r="B381" s="3">
        <v>4800000</v>
      </c>
      <c r="C381" t="s">
        <v>820</v>
      </c>
      <c r="D381" t="s">
        <v>501</v>
      </c>
      <c r="E381" t="s">
        <v>501</v>
      </c>
      <c r="F381" t="s">
        <v>502</v>
      </c>
      <c r="G381">
        <v>3</v>
      </c>
      <c r="H381">
        <v>4</v>
      </c>
      <c r="J381" t="s">
        <v>193</v>
      </c>
      <c r="K381" t="s">
        <v>20</v>
      </c>
      <c r="L381" t="s">
        <v>1285</v>
      </c>
      <c r="M381" s="1">
        <v>46079</v>
      </c>
      <c r="N381" s="1">
        <v>46136</v>
      </c>
      <c r="O381" t="s">
        <v>1286</v>
      </c>
    </row>
    <row r="382" spans="1:15" x14ac:dyDescent="0.3">
      <c r="A382" t="s">
        <v>208</v>
      </c>
      <c r="B382" s="3">
        <v>4000000</v>
      </c>
      <c r="C382" t="s">
        <v>820</v>
      </c>
      <c r="D382" t="s">
        <v>501</v>
      </c>
      <c r="E382" t="s">
        <v>501</v>
      </c>
      <c r="F382" t="s">
        <v>502</v>
      </c>
      <c r="G382">
        <v>2</v>
      </c>
      <c r="H382">
        <v>2</v>
      </c>
      <c r="J382" t="s">
        <v>19</v>
      </c>
      <c r="K382" t="s">
        <v>20</v>
      </c>
      <c r="L382" t="s">
        <v>1287</v>
      </c>
      <c r="M382" s="1">
        <v>46104</v>
      </c>
      <c r="N382" s="1">
        <v>46136</v>
      </c>
      <c r="O382" t="s">
        <v>1288</v>
      </c>
    </row>
    <row r="383" spans="1:15" x14ac:dyDescent="0.3">
      <c r="A383" t="s">
        <v>1289</v>
      </c>
      <c r="B383" s="3">
        <v>5500000</v>
      </c>
      <c r="C383" t="s">
        <v>820</v>
      </c>
      <c r="D383" t="s">
        <v>501</v>
      </c>
      <c r="E383" t="s">
        <v>501</v>
      </c>
      <c r="F383" t="s">
        <v>502</v>
      </c>
      <c r="G383">
        <v>3</v>
      </c>
      <c r="J383" t="s">
        <v>193</v>
      </c>
      <c r="K383" t="s">
        <v>20</v>
      </c>
      <c r="L383" t="s">
        <v>1290</v>
      </c>
      <c r="M383" s="1">
        <v>46106</v>
      </c>
      <c r="N383" s="1">
        <v>46136</v>
      </c>
      <c r="O383" t="s">
        <v>1291</v>
      </c>
    </row>
    <row r="384" spans="1:15" x14ac:dyDescent="0.3">
      <c r="A384" t="s">
        <v>1292</v>
      </c>
      <c r="B384" s="3">
        <v>800000</v>
      </c>
      <c r="C384" t="s">
        <v>820</v>
      </c>
      <c r="D384" t="s">
        <v>501</v>
      </c>
      <c r="E384" t="s">
        <v>501</v>
      </c>
      <c r="F384" t="s">
        <v>1293</v>
      </c>
      <c r="G384">
        <v>1</v>
      </c>
      <c r="H384">
        <v>1</v>
      </c>
      <c r="I384">
        <v>1</v>
      </c>
      <c r="J384" t="s">
        <v>19</v>
      </c>
      <c r="K384" t="s">
        <v>20</v>
      </c>
      <c r="L384" t="s">
        <v>1294</v>
      </c>
      <c r="M384" s="1">
        <v>46101</v>
      </c>
      <c r="N384" s="1">
        <v>46136</v>
      </c>
      <c r="O384" t="s">
        <v>1295</v>
      </c>
    </row>
    <row r="385" spans="1:15" x14ac:dyDescent="0.3">
      <c r="A385" t="s">
        <v>1296</v>
      </c>
      <c r="B385" s="3">
        <v>5000000</v>
      </c>
      <c r="C385" t="s">
        <v>820</v>
      </c>
      <c r="D385" t="s">
        <v>501</v>
      </c>
      <c r="E385" t="s">
        <v>501</v>
      </c>
      <c r="F385" t="s">
        <v>502</v>
      </c>
      <c r="G385">
        <v>3</v>
      </c>
      <c r="H385">
        <v>3</v>
      </c>
      <c r="I385">
        <v>4</v>
      </c>
      <c r="J385" t="s">
        <v>29</v>
      </c>
      <c r="K385" t="s">
        <v>20</v>
      </c>
      <c r="L385" t="s">
        <v>1297</v>
      </c>
      <c r="M385" s="1">
        <v>46093</v>
      </c>
      <c r="N385" s="1">
        <v>46136</v>
      </c>
      <c r="O385" t="s">
        <v>1298</v>
      </c>
    </row>
    <row r="386" spans="1:15" x14ac:dyDescent="0.3">
      <c r="A386" t="s">
        <v>99</v>
      </c>
      <c r="B386" s="3">
        <v>5000000</v>
      </c>
      <c r="C386" t="s">
        <v>820</v>
      </c>
      <c r="D386" t="s">
        <v>501</v>
      </c>
      <c r="E386" t="s">
        <v>501</v>
      </c>
      <c r="F386" t="s">
        <v>1299</v>
      </c>
      <c r="G386">
        <v>4</v>
      </c>
      <c r="H386">
        <v>4</v>
      </c>
      <c r="I386">
        <v>5</v>
      </c>
      <c r="J386" t="s">
        <v>38</v>
      </c>
      <c r="K386" t="s">
        <v>20</v>
      </c>
      <c r="L386" t="s">
        <v>1300</v>
      </c>
      <c r="M386" s="1">
        <v>46076</v>
      </c>
      <c r="N386" s="1">
        <v>46136</v>
      </c>
      <c r="O386" t="s">
        <v>1301</v>
      </c>
    </row>
    <row r="387" spans="1:15" x14ac:dyDescent="0.3">
      <c r="A387" t="s">
        <v>912</v>
      </c>
      <c r="B387" s="3">
        <v>1700000</v>
      </c>
      <c r="C387" t="s">
        <v>820</v>
      </c>
      <c r="D387" t="s">
        <v>501</v>
      </c>
      <c r="E387" t="s">
        <v>501</v>
      </c>
      <c r="F387" t="s">
        <v>502</v>
      </c>
      <c r="G387">
        <v>1</v>
      </c>
      <c r="H387">
        <v>1</v>
      </c>
      <c r="I387">
        <v>1</v>
      </c>
      <c r="J387" t="s">
        <v>19</v>
      </c>
      <c r="K387" t="s">
        <v>20</v>
      </c>
      <c r="L387" t="s">
        <v>1302</v>
      </c>
      <c r="M387" s="1">
        <v>46103</v>
      </c>
      <c r="N387" s="1">
        <v>46136</v>
      </c>
      <c r="O387" t="s">
        <v>1303</v>
      </c>
    </row>
    <row r="388" spans="1:15" x14ac:dyDescent="0.3">
      <c r="A388" t="s">
        <v>138</v>
      </c>
      <c r="B388" s="3">
        <v>3500000</v>
      </c>
      <c r="C388" t="s">
        <v>820</v>
      </c>
      <c r="D388" t="s">
        <v>501</v>
      </c>
      <c r="E388" t="s">
        <v>501</v>
      </c>
      <c r="F388" t="s">
        <v>1304</v>
      </c>
      <c r="G388">
        <v>2</v>
      </c>
      <c r="H388">
        <v>2</v>
      </c>
      <c r="I388">
        <v>3</v>
      </c>
      <c r="J388" t="s">
        <v>19</v>
      </c>
      <c r="K388" t="s">
        <v>20</v>
      </c>
      <c r="L388" t="s">
        <v>1305</v>
      </c>
      <c r="M388" s="1">
        <v>46080</v>
      </c>
      <c r="N388" s="1">
        <v>46136</v>
      </c>
      <c r="O388" t="s">
        <v>1306</v>
      </c>
    </row>
    <row r="389" spans="1:15" x14ac:dyDescent="0.3">
      <c r="A389" t="s">
        <v>227</v>
      </c>
      <c r="B389" s="3">
        <v>4000000</v>
      </c>
      <c r="C389" t="s">
        <v>820</v>
      </c>
      <c r="D389" t="s">
        <v>501</v>
      </c>
      <c r="E389" t="s">
        <v>501</v>
      </c>
      <c r="F389" t="s">
        <v>1307</v>
      </c>
      <c r="G389">
        <v>2</v>
      </c>
      <c r="H389">
        <v>3</v>
      </c>
      <c r="J389" t="s">
        <v>19</v>
      </c>
      <c r="K389" t="s">
        <v>20</v>
      </c>
      <c r="L389" t="s">
        <v>1308</v>
      </c>
      <c r="M389" s="1">
        <v>46076</v>
      </c>
      <c r="N389" s="1">
        <v>46135</v>
      </c>
      <c r="O389" t="s">
        <v>1309</v>
      </c>
    </row>
    <row r="390" spans="1:15" x14ac:dyDescent="0.3">
      <c r="A390" t="s">
        <v>1310</v>
      </c>
      <c r="B390" s="3">
        <v>8000000</v>
      </c>
      <c r="C390" t="s">
        <v>820</v>
      </c>
      <c r="D390" t="s">
        <v>501</v>
      </c>
      <c r="E390" t="s">
        <v>501</v>
      </c>
      <c r="F390" t="s">
        <v>502</v>
      </c>
      <c r="G390">
        <v>4</v>
      </c>
      <c r="H390">
        <v>5</v>
      </c>
      <c r="I390">
        <v>5</v>
      </c>
      <c r="J390" t="s">
        <v>193</v>
      </c>
      <c r="K390" t="s">
        <v>20</v>
      </c>
      <c r="L390" t="s">
        <v>1311</v>
      </c>
      <c r="M390" s="1">
        <v>46080</v>
      </c>
      <c r="N390" s="1">
        <v>46135</v>
      </c>
      <c r="O390" t="s">
        <v>1312</v>
      </c>
    </row>
    <row r="391" spans="1:15" x14ac:dyDescent="0.3">
      <c r="A391" t="s">
        <v>1313</v>
      </c>
      <c r="B391" s="3">
        <v>6500000</v>
      </c>
      <c r="C391" t="s">
        <v>820</v>
      </c>
      <c r="D391" t="s">
        <v>501</v>
      </c>
      <c r="E391" t="s">
        <v>501</v>
      </c>
      <c r="F391" t="s">
        <v>1314</v>
      </c>
      <c r="G391">
        <v>3</v>
      </c>
      <c r="H391">
        <v>3</v>
      </c>
      <c r="I391">
        <v>4</v>
      </c>
      <c r="J391" t="s">
        <v>91</v>
      </c>
      <c r="K391" t="s">
        <v>20</v>
      </c>
      <c r="L391" t="s">
        <v>1315</v>
      </c>
      <c r="M391" s="1">
        <v>46087</v>
      </c>
      <c r="N391" s="1">
        <v>46136</v>
      </c>
      <c r="O391" t="s">
        <v>1316</v>
      </c>
    </row>
    <row r="392" spans="1:15" x14ac:dyDescent="0.3">
      <c r="A392" t="s">
        <v>1317</v>
      </c>
      <c r="B392" s="3">
        <v>4500000</v>
      </c>
      <c r="C392" t="s">
        <v>820</v>
      </c>
      <c r="D392" t="s">
        <v>570</v>
      </c>
      <c r="E392" t="s">
        <v>570</v>
      </c>
      <c r="F392" t="s">
        <v>1318</v>
      </c>
      <c r="G392">
        <v>3</v>
      </c>
      <c r="H392">
        <v>3</v>
      </c>
      <c r="I392">
        <v>4</v>
      </c>
      <c r="J392" t="s">
        <v>193</v>
      </c>
      <c r="K392" t="s">
        <v>20</v>
      </c>
      <c r="L392" t="s">
        <v>1319</v>
      </c>
      <c r="M392" s="1">
        <v>46134</v>
      </c>
      <c r="N392" s="1">
        <v>46136</v>
      </c>
      <c r="O392" t="s">
        <v>1320</v>
      </c>
    </row>
    <row r="393" spans="1:15" x14ac:dyDescent="0.3">
      <c r="A393" t="s">
        <v>1321</v>
      </c>
      <c r="B393" s="3">
        <v>4500000</v>
      </c>
      <c r="C393" t="s">
        <v>820</v>
      </c>
      <c r="D393" t="s">
        <v>570</v>
      </c>
      <c r="E393" t="s">
        <v>570</v>
      </c>
      <c r="F393" t="s">
        <v>1322</v>
      </c>
      <c r="G393">
        <v>2</v>
      </c>
      <c r="H393">
        <v>2</v>
      </c>
      <c r="I393">
        <v>3</v>
      </c>
      <c r="J393" t="s">
        <v>91</v>
      </c>
      <c r="K393" t="s">
        <v>20</v>
      </c>
      <c r="L393" t="s">
        <v>1323</v>
      </c>
      <c r="M393" s="1">
        <v>46123</v>
      </c>
      <c r="N393" s="1">
        <v>46136</v>
      </c>
      <c r="O393" t="s">
        <v>1324</v>
      </c>
    </row>
    <row r="394" spans="1:15" x14ac:dyDescent="0.3">
      <c r="A394" t="s">
        <v>1325</v>
      </c>
      <c r="B394" s="3">
        <v>6000000</v>
      </c>
      <c r="C394" t="s">
        <v>820</v>
      </c>
      <c r="D394" t="s">
        <v>570</v>
      </c>
      <c r="E394" t="s">
        <v>570</v>
      </c>
      <c r="F394" t="s">
        <v>1326</v>
      </c>
      <c r="G394">
        <v>2</v>
      </c>
      <c r="H394">
        <v>2</v>
      </c>
      <c r="I394">
        <v>3</v>
      </c>
      <c r="J394" t="s">
        <v>19</v>
      </c>
      <c r="K394" t="s">
        <v>20</v>
      </c>
      <c r="L394" t="s">
        <v>1327</v>
      </c>
      <c r="M394" s="1">
        <v>46123</v>
      </c>
      <c r="N394" s="1">
        <v>46136</v>
      </c>
      <c r="O394" t="s">
        <v>1328</v>
      </c>
    </row>
    <row r="395" spans="1:15" x14ac:dyDescent="0.3">
      <c r="A395" t="s">
        <v>1329</v>
      </c>
      <c r="B395" s="3">
        <v>3500000</v>
      </c>
      <c r="C395" t="s">
        <v>820</v>
      </c>
      <c r="D395" t="s">
        <v>570</v>
      </c>
      <c r="E395" t="s">
        <v>570</v>
      </c>
      <c r="F395" t="s">
        <v>606</v>
      </c>
      <c r="G395">
        <v>2</v>
      </c>
      <c r="H395">
        <v>3</v>
      </c>
      <c r="I395">
        <v>3</v>
      </c>
      <c r="J395" t="s">
        <v>19</v>
      </c>
      <c r="K395" t="s">
        <v>20</v>
      </c>
      <c r="L395" t="s">
        <v>1330</v>
      </c>
      <c r="M395" s="1">
        <v>46106</v>
      </c>
      <c r="N395" s="1">
        <v>46136</v>
      </c>
      <c r="O395" t="s">
        <v>1331</v>
      </c>
    </row>
    <row r="396" spans="1:15" x14ac:dyDescent="0.3">
      <c r="A396" t="s">
        <v>1332</v>
      </c>
      <c r="B396" s="3">
        <v>3000000</v>
      </c>
      <c r="C396" t="s">
        <v>820</v>
      </c>
      <c r="D396" t="s">
        <v>570</v>
      </c>
      <c r="E396" t="s">
        <v>570</v>
      </c>
      <c r="F396" t="s">
        <v>1333</v>
      </c>
      <c r="G396">
        <v>2</v>
      </c>
      <c r="H396">
        <v>3</v>
      </c>
      <c r="I396">
        <v>3</v>
      </c>
      <c r="J396" t="s">
        <v>19</v>
      </c>
      <c r="K396" t="s">
        <v>20</v>
      </c>
      <c r="L396" t="s">
        <v>1334</v>
      </c>
      <c r="M396" s="1">
        <v>46097</v>
      </c>
      <c r="N396" s="1">
        <v>46136</v>
      </c>
      <c r="O396" t="s">
        <v>1335</v>
      </c>
    </row>
    <row r="397" spans="1:15" x14ac:dyDescent="0.3">
      <c r="A397" t="s">
        <v>133</v>
      </c>
      <c r="B397" s="3">
        <v>10000000</v>
      </c>
      <c r="C397" t="s">
        <v>820</v>
      </c>
      <c r="D397" t="s">
        <v>570</v>
      </c>
      <c r="E397" t="s">
        <v>570</v>
      </c>
      <c r="F397" t="s">
        <v>1336</v>
      </c>
      <c r="G397">
        <v>4</v>
      </c>
      <c r="H397">
        <v>5</v>
      </c>
      <c r="I397">
        <v>5</v>
      </c>
      <c r="J397" t="s">
        <v>29</v>
      </c>
      <c r="K397" t="s">
        <v>20</v>
      </c>
      <c r="L397" t="s">
        <v>1337</v>
      </c>
      <c r="M397" s="1">
        <v>45940</v>
      </c>
      <c r="N397" s="1">
        <v>46136</v>
      </c>
      <c r="O397" t="s">
        <v>1338</v>
      </c>
    </row>
    <row r="398" spans="1:15" x14ac:dyDescent="0.3">
      <c r="A398" t="s">
        <v>99</v>
      </c>
      <c r="B398" s="3">
        <v>8500000</v>
      </c>
      <c r="C398" t="s">
        <v>820</v>
      </c>
      <c r="D398" t="s">
        <v>570</v>
      </c>
      <c r="E398" t="s">
        <v>570</v>
      </c>
      <c r="F398" t="s">
        <v>587</v>
      </c>
      <c r="G398">
        <v>4</v>
      </c>
      <c r="H398">
        <v>4</v>
      </c>
      <c r="J398" t="s">
        <v>38</v>
      </c>
      <c r="K398" t="s">
        <v>20</v>
      </c>
      <c r="L398" t="s">
        <v>1339</v>
      </c>
      <c r="M398" s="1">
        <v>46083</v>
      </c>
      <c r="N398" s="1">
        <v>46136</v>
      </c>
      <c r="O398" t="s">
        <v>1340</v>
      </c>
    </row>
    <row r="399" spans="1:15" x14ac:dyDescent="0.3">
      <c r="A399" t="s">
        <v>1341</v>
      </c>
      <c r="B399" s="3">
        <v>10000000</v>
      </c>
      <c r="C399" t="s">
        <v>820</v>
      </c>
      <c r="D399" t="s">
        <v>570</v>
      </c>
      <c r="E399" t="s">
        <v>570</v>
      </c>
      <c r="F399" t="s">
        <v>1342</v>
      </c>
      <c r="G399">
        <v>6</v>
      </c>
      <c r="H399">
        <v>6</v>
      </c>
      <c r="J399" t="s">
        <v>38</v>
      </c>
      <c r="K399" t="s">
        <v>20</v>
      </c>
      <c r="L399" t="s">
        <v>1343</v>
      </c>
      <c r="M399" s="1">
        <v>46121</v>
      </c>
      <c r="N399" s="1">
        <v>46136</v>
      </c>
      <c r="O399" t="s">
        <v>1344</v>
      </c>
    </row>
    <row r="400" spans="1:15" x14ac:dyDescent="0.3">
      <c r="A400" t="s">
        <v>545</v>
      </c>
      <c r="B400" s="3">
        <v>6500000</v>
      </c>
      <c r="C400" t="s">
        <v>820</v>
      </c>
      <c r="D400" t="s">
        <v>570</v>
      </c>
      <c r="E400" t="s">
        <v>570</v>
      </c>
      <c r="F400" t="s">
        <v>587</v>
      </c>
      <c r="G400">
        <v>3</v>
      </c>
      <c r="H400">
        <v>3</v>
      </c>
      <c r="I400">
        <v>4</v>
      </c>
      <c r="J400" t="s">
        <v>193</v>
      </c>
      <c r="K400" t="s">
        <v>20</v>
      </c>
      <c r="L400" t="s">
        <v>1345</v>
      </c>
      <c r="M400" s="1">
        <v>46088</v>
      </c>
      <c r="N400" s="1">
        <v>46136</v>
      </c>
      <c r="O400" t="s">
        <v>1346</v>
      </c>
    </row>
    <row r="401" spans="1:15" x14ac:dyDescent="0.3">
      <c r="A401" t="s">
        <v>1347</v>
      </c>
      <c r="B401" s="3">
        <v>9000000</v>
      </c>
      <c r="C401" t="s">
        <v>820</v>
      </c>
      <c r="D401" t="s">
        <v>570</v>
      </c>
      <c r="E401" t="s">
        <v>570</v>
      </c>
      <c r="F401" t="s">
        <v>1348</v>
      </c>
      <c r="G401">
        <v>4</v>
      </c>
      <c r="H401">
        <v>5</v>
      </c>
      <c r="I401">
        <v>5</v>
      </c>
      <c r="J401" t="s">
        <v>38</v>
      </c>
      <c r="K401" t="s">
        <v>20</v>
      </c>
      <c r="L401" t="s">
        <v>1349</v>
      </c>
      <c r="M401" s="1">
        <v>46101</v>
      </c>
      <c r="N401" s="1">
        <v>46136</v>
      </c>
      <c r="O401" t="s">
        <v>1350</v>
      </c>
    </row>
    <row r="402" spans="1:15" x14ac:dyDescent="0.3">
      <c r="A402" t="s">
        <v>99</v>
      </c>
      <c r="B402" s="3">
        <v>6000000</v>
      </c>
      <c r="C402" t="s">
        <v>820</v>
      </c>
      <c r="D402" t="s">
        <v>570</v>
      </c>
      <c r="E402" t="s">
        <v>570</v>
      </c>
      <c r="F402" t="s">
        <v>587</v>
      </c>
      <c r="G402">
        <v>4</v>
      </c>
      <c r="H402">
        <v>4</v>
      </c>
      <c r="I402">
        <v>5</v>
      </c>
      <c r="J402" t="s">
        <v>38</v>
      </c>
      <c r="K402" t="s">
        <v>20</v>
      </c>
      <c r="L402" t="s">
        <v>1351</v>
      </c>
      <c r="M402" s="1">
        <v>46094</v>
      </c>
      <c r="N402" s="1">
        <v>46136</v>
      </c>
      <c r="O402" t="s">
        <v>1352</v>
      </c>
    </row>
    <row r="403" spans="1:15" x14ac:dyDescent="0.3">
      <c r="A403" t="s">
        <v>138</v>
      </c>
      <c r="B403" s="3">
        <v>6000000</v>
      </c>
      <c r="C403" t="s">
        <v>820</v>
      </c>
      <c r="D403" t="s">
        <v>570</v>
      </c>
      <c r="E403" t="s">
        <v>570</v>
      </c>
      <c r="F403" t="s">
        <v>623</v>
      </c>
      <c r="G403">
        <v>2</v>
      </c>
      <c r="H403">
        <v>2</v>
      </c>
      <c r="I403">
        <v>3</v>
      </c>
      <c r="J403" t="s">
        <v>19</v>
      </c>
      <c r="K403" t="s">
        <v>20</v>
      </c>
      <c r="L403" t="s">
        <v>1353</v>
      </c>
      <c r="M403" s="1">
        <v>46122</v>
      </c>
      <c r="N403" s="1">
        <v>46135</v>
      </c>
      <c r="O403" t="s">
        <v>1354</v>
      </c>
    </row>
    <row r="404" spans="1:15" x14ac:dyDescent="0.3">
      <c r="A404" t="s">
        <v>138</v>
      </c>
      <c r="B404" s="3">
        <v>4000000</v>
      </c>
      <c r="C404" t="s">
        <v>820</v>
      </c>
      <c r="D404" t="s">
        <v>570</v>
      </c>
      <c r="E404" t="s">
        <v>570</v>
      </c>
      <c r="F404" t="s">
        <v>1355</v>
      </c>
      <c r="G404">
        <v>2</v>
      </c>
      <c r="H404">
        <v>3</v>
      </c>
      <c r="J404" t="s">
        <v>19</v>
      </c>
      <c r="K404" t="s">
        <v>20</v>
      </c>
      <c r="L404" t="s">
        <v>1356</v>
      </c>
      <c r="M404" s="1">
        <v>46091</v>
      </c>
      <c r="N404" s="1">
        <v>46135</v>
      </c>
      <c r="O404" t="s">
        <v>1357</v>
      </c>
    </row>
    <row r="405" spans="1:15" x14ac:dyDescent="0.3">
      <c r="A405" t="s">
        <v>15</v>
      </c>
      <c r="B405" s="3">
        <v>6000000</v>
      </c>
      <c r="C405" t="s">
        <v>820</v>
      </c>
      <c r="D405" t="s">
        <v>570</v>
      </c>
      <c r="E405" t="s">
        <v>570</v>
      </c>
      <c r="F405" t="s">
        <v>623</v>
      </c>
      <c r="G405">
        <v>3</v>
      </c>
      <c r="H405">
        <v>3</v>
      </c>
      <c r="I405">
        <v>4</v>
      </c>
      <c r="J405" t="s">
        <v>19</v>
      </c>
      <c r="K405" t="s">
        <v>20</v>
      </c>
      <c r="L405" t="s">
        <v>1358</v>
      </c>
      <c r="M405" s="1">
        <v>46116</v>
      </c>
      <c r="N405" s="1">
        <v>46135</v>
      </c>
      <c r="O405" t="s">
        <v>1359</v>
      </c>
    </row>
    <row r="406" spans="1:15" x14ac:dyDescent="0.3">
      <c r="A406" t="s">
        <v>1360</v>
      </c>
      <c r="B406" s="3">
        <v>6000000</v>
      </c>
      <c r="C406" t="s">
        <v>820</v>
      </c>
      <c r="D406" t="s">
        <v>570</v>
      </c>
      <c r="E406" t="s">
        <v>570</v>
      </c>
      <c r="F406" t="s">
        <v>1361</v>
      </c>
      <c r="G406">
        <v>3</v>
      </c>
      <c r="H406">
        <v>4</v>
      </c>
      <c r="I406">
        <v>4</v>
      </c>
      <c r="J406" t="s">
        <v>19</v>
      </c>
      <c r="K406" t="s">
        <v>20</v>
      </c>
      <c r="L406" t="s">
        <v>1362</v>
      </c>
      <c r="M406" s="1">
        <v>46087</v>
      </c>
      <c r="N406" s="1">
        <v>46136</v>
      </c>
      <c r="O406" t="s">
        <v>1363</v>
      </c>
    </row>
    <row r="407" spans="1:15" x14ac:dyDescent="0.3">
      <c r="A407" t="s">
        <v>1364</v>
      </c>
      <c r="B407" s="3">
        <v>3000000</v>
      </c>
      <c r="C407" t="s">
        <v>820</v>
      </c>
      <c r="D407" t="s">
        <v>570</v>
      </c>
      <c r="E407" t="s">
        <v>570</v>
      </c>
      <c r="F407" t="s">
        <v>1365</v>
      </c>
      <c r="G407">
        <v>2</v>
      </c>
      <c r="H407">
        <v>3</v>
      </c>
      <c r="I407">
        <v>3</v>
      </c>
      <c r="J407" t="s">
        <v>19</v>
      </c>
      <c r="K407" t="s">
        <v>20</v>
      </c>
      <c r="L407" t="s">
        <v>1366</v>
      </c>
      <c r="M407" s="1">
        <v>46093</v>
      </c>
      <c r="N407" s="1">
        <v>46136</v>
      </c>
      <c r="O407" t="s">
        <v>1367</v>
      </c>
    </row>
    <row r="408" spans="1:15" x14ac:dyDescent="0.3">
      <c r="A408" t="s">
        <v>1368</v>
      </c>
      <c r="B408" s="3">
        <v>2000000</v>
      </c>
      <c r="C408" t="s">
        <v>820</v>
      </c>
      <c r="D408" t="s">
        <v>570</v>
      </c>
      <c r="E408" t="s">
        <v>570</v>
      </c>
      <c r="F408" t="s">
        <v>1369</v>
      </c>
      <c r="G408">
        <v>1</v>
      </c>
      <c r="H408">
        <v>2</v>
      </c>
      <c r="I408">
        <v>2</v>
      </c>
      <c r="J408" t="s">
        <v>19</v>
      </c>
      <c r="K408" t="s">
        <v>20</v>
      </c>
      <c r="L408" t="s">
        <v>1370</v>
      </c>
      <c r="M408" s="1">
        <v>46115</v>
      </c>
      <c r="N408" s="1">
        <v>46136</v>
      </c>
      <c r="O408" t="s">
        <v>1371</v>
      </c>
    </row>
    <row r="409" spans="1:15" x14ac:dyDescent="0.3">
      <c r="A409" t="s">
        <v>1372</v>
      </c>
      <c r="B409" s="3">
        <v>6000000</v>
      </c>
      <c r="C409" t="s">
        <v>820</v>
      </c>
      <c r="D409" t="s">
        <v>570</v>
      </c>
      <c r="E409" t="s">
        <v>570</v>
      </c>
      <c r="F409" t="s">
        <v>1373</v>
      </c>
      <c r="G409">
        <v>3</v>
      </c>
      <c r="H409">
        <v>3</v>
      </c>
      <c r="I409">
        <v>4</v>
      </c>
      <c r="J409" t="s">
        <v>193</v>
      </c>
      <c r="K409" t="s">
        <v>20</v>
      </c>
      <c r="L409" t="s">
        <v>1374</v>
      </c>
      <c r="M409" s="1">
        <v>46123</v>
      </c>
      <c r="N409" s="1">
        <v>46136</v>
      </c>
      <c r="O409" t="s">
        <v>1375</v>
      </c>
    </row>
    <row r="410" spans="1:15" x14ac:dyDescent="0.3">
      <c r="A410" t="s">
        <v>650</v>
      </c>
      <c r="B410" s="3">
        <v>6500000</v>
      </c>
      <c r="C410" t="s">
        <v>820</v>
      </c>
      <c r="D410" t="s">
        <v>259</v>
      </c>
      <c r="E410" t="s">
        <v>259</v>
      </c>
      <c r="F410" t="s">
        <v>635</v>
      </c>
      <c r="G410">
        <v>4</v>
      </c>
      <c r="J410" t="s">
        <v>70</v>
      </c>
      <c r="K410" t="s">
        <v>20</v>
      </c>
      <c r="L410" t="s">
        <v>1376</v>
      </c>
      <c r="M410" s="1">
        <v>46002</v>
      </c>
      <c r="N410" s="1">
        <v>46134</v>
      </c>
      <c r="O410" t="s">
        <v>1377</v>
      </c>
    </row>
    <row r="411" spans="1:15" x14ac:dyDescent="0.3">
      <c r="A411" t="s">
        <v>650</v>
      </c>
      <c r="B411" s="3">
        <v>6500000</v>
      </c>
      <c r="C411" t="s">
        <v>820</v>
      </c>
      <c r="D411" t="s">
        <v>259</v>
      </c>
      <c r="E411" t="s">
        <v>259</v>
      </c>
      <c r="F411" t="s">
        <v>635</v>
      </c>
      <c r="G411">
        <v>4</v>
      </c>
      <c r="J411" t="s">
        <v>70</v>
      </c>
      <c r="K411" t="s">
        <v>20</v>
      </c>
      <c r="L411" t="s">
        <v>1378</v>
      </c>
      <c r="M411" s="1">
        <v>46003</v>
      </c>
      <c r="N411" s="1">
        <v>46134</v>
      </c>
      <c r="O411" t="s">
        <v>1379</v>
      </c>
    </row>
    <row r="412" spans="1:15" x14ac:dyDescent="0.3">
      <c r="A412" t="s">
        <v>992</v>
      </c>
      <c r="B412" s="3">
        <v>4500000</v>
      </c>
      <c r="C412" t="s">
        <v>820</v>
      </c>
      <c r="D412" t="s">
        <v>259</v>
      </c>
      <c r="E412" t="s">
        <v>259</v>
      </c>
      <c r="F412" t="s">
        <v>647</v>
      </c>
      <c r="G412">
        <v>2</v>
      </c>
      <c r="H412">
        <v>3</v>
      </c>
      <c r="I412">
        <v>3</v>
      </c>
      <c r="J412" t="s">
        <v>19</v>
      </c>
      <c r="K412" t="s">
        <v>20</v>
      </c>
      <c r="L412" t="s">
        <v>1380</v>
      </c>
      <c r="M412" s="1">
        <v>46124</v>
      </c>
      <c r="N412" s="1">
        <v>46136</v>
      </c>
      <c r="O412" t="s">
        <v>1381</v>
      </c>
    </row>
    <row r="413" spans="1:15" x14ac:dyDescent="0.3">
      <c r="A413" t="s">
        <v>1382</v>
      </c>
      <c r="B413" s="3">
        <v>4500000</v>
      </c>
      <c r="C413" t="s">
        <v>820</v>
      </c>
      <c r="D413" t="s">
        <v>259</v>
      </c>
      <c r="E413" t="s">
        <v>259</v>
      </c>
      <c r="F413" t="s">
        <v>635</v>
      </c>
      <c r="G413">
        <v>2</v>
      </c>
      <c r="H413">
        <v>3</v>
      </c>
      <c r="I413">
        <v>3</v>
      </c>
      <c r="J413" t="s">
        <v>70</v>
      </c>
      <c r="K413" t="s">
        <v>20</v>
      </c>
      <c r="L413" t="s">
        <v>1383</v>
      </c>
      <c r="M413" s="1">
        <v>46074</v>
      </c>
      <c r="N413" s="1">
        <v>46136</v>
      </c>
      <c r="O413" t="s">
        <v>1384</v>
      </c>
    </row>
    <row r="414" spans="1:15" x14ac:dyDescent="0.3">
      <c r="A414" t="s">
        <v>1385</v>
      </c>
      <c r="B414" s="3">
        <v>3000000</v>
      </c>
      <c r="C414" t="s">
        <v>820</v>
      </c>
      <c r="D414" t="s">
        <v>259</v>
      </c>
      <c r="E414" t="s">
        <v>259</v>
      </c>
      <c r="F414" t="s">
        <v>1386</v>
      </c>
      <c r="G414">
        <v>2</v>
      </c>
      <c r="H414">
        <v>3</v>
      </c>
      <c r="I414">
        <v>3</v>
      </c>
      <c r="J414" t="s">
        <v>19</v>
      </c>
      <c r="K414" t="s">
        <v>20</v>
      </c>
      <c r="L414" t="s">
        <v>1387</v>
      </c>
      <c r="M414" s="1">
        <v>46119</v>
      </c>
      <c r="N414" s="1">
        <v>46136</v>
      </c>
      <c r="O414" t="s">
        <v>1388</v>
      </c>
    </row>
    <row r="415" spans="1:15" x14ac:dyDescent="0.3">
      <c r="A415" t="s">
        <v>227</v>
      </c>
      <c r="B415" s="3">
        <v>3000000</v>
      </c>
      <c r="C415" t="s">
        <v>820</v>
      </c>
      <c r="D415" t="s">
        <v>259</v>
      </c>
      <c r="E415" t="s">
        <v>259</v>
      </c>
      <c r="F415" t="s">
        <v>1389</v>
      </c>
      <c r="G415">
        <v>2</v>
      </c>
      <c r="H415">
        <v>3</v>
      </c>
      <c r="I415">
        <v>3</v>
      </c>
      <c r="J415" t="s">
        <v>19</v>
      </c>
      <c r="K415" t="s">
        <v>20</v>
      </c>
      <c r="L415" t="s">
        <v>1390</v>
      </c>
      <c r="M415" s="1">
        <v>46100</v>
      </c>
      <c r="N415" s="1">
        <v>46136</v>
      </c>
      <c r="O415" t="s">
        <v>1391</v>
      </c>
    </row>
    <row r="416" spans="1:15" x14ac:dyDescent="0.3">
      <c r="A416" t="s">
        <v>138</v>
      </c>
      <c r="B416" s="3">
        <v>2800000</v>
      </c>
      <c r="C416" t="s">
        <v>820</v>
      </c>
      <c r="D416" t="s">
        <v>259</v>
      </c>
      <c r="E416" t="s">
        <v>259</v>
      </c>
      <c r="F416" t="s">
        <v>1392</v>
      </c>
      <c r="G416">
        <v>2</v>
      </c>
      <c r="H416">
        <v>3</v>
      </c>
      <c r="I416">
        <v>3</v>
      </c>
      <c r="J416" t="s">
        <v>19</v>
      </c>
      <c r="K416" t="s">
        <v>20</v>
      </c>
      <c r="L416" t="s">
        <v>1393</v>
      </c>
      <c r="M416" s="1">
        <v>46097</v>
      </c>
      <c r="N416" s="1">
        <v>46136</v>
      </c>
      <c r="O416" t="s">
        <v>1394</v>
      </c>
    </row>
    <row r="417" spans="1:15" x14ac:dyDescent="0.3">
      <c r="A417" t="s">
        <v>1395</v>
      </c>
      <c r="B417" s="3">
        <v>3000000</v>
      </c>
      <c r="C417" t="s">
        <v>820</v>
      </c>
      <c r="D417" t="s">
        <v>259</v>
      </c>
      <c r="E417" t="s">
        <v>259</v>
      </c>
      <c r="F417" t="s">
        <v>1386</v>
      </c>
      <c r="G417">
        <v>3</v>
      </c>
      <c r="H417">
        <v>3</v>
      </c>
      <c r="I417">
        <v>3</v>
      </c>
      <c r="J417" t="s">
        <v>193</v>
      </c>
      <c r="K417" t="s">
        <v>20</v>
      </c>
      <c r="L417" t="s">
        <v>1396</v>
      </c>
      <c r="M417" s="1">
        <v>46123</v>
      </c>
      <c r="N417" s="1">
        <v>46136</v>
      </c>
      <c r="O417" t="s">
        <v>1397</v>
      </c>
    </row>
    <row r="418" spans="1:15" x14ac:dyDescent="0.3">
      <c r="A418" t="s">
        <v>212</v>
      </c>
      <c r="B418" s="3">
        <v>2000000</v>
      </c>
      <c r="C418" t="s">
        <v>820</v>
      </c>
      <c r="D418" t="s">
        <v>259</v>
      </c>
      <c r="E418" t="s">
        <v>259</v>
      </c>
      <c r="F418" t="s">
        <v>1398</v>
      </c>
      <c r="G418">
        <v>1</v>
      </c>
      <c r="H418">
        <v>2</v>
      </c>
      <c r="I418">
        <v>2</v>
      </c>
      <c r="J418" t="s">
        <v>19</v>
      </c>
      <c r="K418" t="s">
        <v>20</v>
      </c>
      <c r="L418" t="s">
        <v>1399</v>
      </c>
      <c r="M418" s="1">
        <v>46105</v>
      </c>
      <c r="N418" s="1">
        <v>46136</v>
      </c>
      <c r="O418" t="s">
        <v>1400</v>
      </c>
    </row>
    <row r="419" spans="1:15" x14ac:dyDescent="0.3">
      <c r="A419" t="s">
        <v>15</v>
      </c>
      <c r="B419" s="3">
        <v>3500000</v>
      </c>
      <c r="C419" t="s">
        <v>820</v>
      </c>
      <c r="D419" t="s">
        <v>259</v>
      </c>
      <c r="E419" t="s">
        <v>259</v>
      </c>
      <c r="F419" t="s">
        <v>1401</v>
      </c>
      <c r="G419">
        <v>3</v>
      </c>
      <c r="H419">
        <v>3</v>
      </c>
      <c r="I419">
        <v>3</v>
      </c>
      <c r="J419" t="s">
        <v>19</v>
      </c>
      <c r="K419" t="s">
        <v>20</v>
      </c>
      <c r="L419" t="s">
        <v>1402</v>
      </c>
      <c r="M419" s="1">
        <v>46113</v>
      </c>
      <c r="N419" s="1">
        <v>46136</v>
      </c>
      <c r="O419" t="s">
        <v>1403</v>
      </c>
    </row>
    <row r="420" spans="1:15" x14ac:dyDescent="0.3">
      <c r="A420" t="s">
        <v>138</v>
      </c>
      <c r="B420" s="3">
        <v>3000000</v>
      </c>
      <c r="C420" t="s">
        <v>820</v>
      </c>
      <c r="D420" t="s">
        <v>259</v>
      </c>
      <c r="E420" t="s">
        <v>259</v>
      </c>
      <c r="F420" t="s">
        <v>1398</v>
      </c>
      <c r="G420">
        <v>2</v>
      </c>
      <c r="H420">
        <v>2</v>
      </c>
      <c r="I420">
        <v>2</v>
      </c>
      <c r="J420" t="s">
        <v>19</v>
      </c>
      <c r="K420" t="s">
        <v>20</v>
      </c>
      <c r="L420" t="s">
        <v>1404</v>
      </c>
      <c r="M420" s="1">
        <v>46128</v>
      </c>
      <c r="N420" s="1">
        <v>46136</v>
      </c>
      <c r="O420" t="s">
        <v>1405</v>
      </c>
    </row>
    <row r="421" spans="1:15" x14ac:dyDescent="0.3">
      <c r="A421" t="s">
        <v>15</v>
      </c>
      <c r="B421" s="3">
        <v>3500000</v>
      </c>
      <c r="C421" t="s">
        <v>820</v>
      </c>
      <c r="D421" t="s">
        <v>259</v>
      </c>
      <c r="E421" t="s">
        <v>259</v>
      </c>
      <c r="F421" t="s">
        <v>1406</v>
      </c>
      <c r="G421">
        <v>3</v>
      </c>
      <c r="H421">
        <v>3</v>
      </c>
      <c r="I421">
        <v>3</v>
      </c>
      <c r="J421" t="s">
        <v>19</v>
      </c>
      <c r="K421" t="s">
        <v>20</v>
      </c>
      <c r="L421" t="s">
        <v>1407</v>
      </c>
      <c r="M421" s="1">
        <v>46122</v>
      </c>
      <c r="N421" s="1">
        <v>46136</v>
      </c>
      <c r="O421" t="s">
        <v>1408</v>
      </c>
    </row>
    <row r="422" spans="1:15" x14ac:dyDescent="0.3">
      <c r="A422" t="s">
        <v>208</v>
      </c>
      <c r="B422" s="3">
        <v>2500000</v>
      </c>
      <c r="C422" t="s">
        <v>820</v>
      </c>
      <c r="D422" t="s">
        <v>259</v>
      </c>
      <c r="E422" t="s">
        <v>259</v>
      </c>
      <c r="F422" t="s">
        <v>1398</v>
      </c>
      <c r="G422">
        <v>2</v>
      </c>
      <c r="H422">
        <v>2</v>
      </c>
      <c r="I422">
        <v>2</v>
      </c>
      <c r="J422" t="s">
        <v>19</v>
      </c>
      <c r="K422" t="s">
        <v>20</v>
      </c>
      <c r="L422" t="s">
        <v>1409</v>
      </c>
      <c r="M422" s="1">
        <v>46105</v>
      </c>
      <c r="N422" s="1">
        <v>46136</v>
      </c>
      <c r="O422" t="s">
        <v>1410</v>
      </c>
    </row>
    <row r="423" spans="1:15" x14ac:dyDescent="0.3">
      <c r="A423" t="s">
        <v>545</v>
      </c>
      <c r="B423" s="3">
        <v>3000000</v>
      </c>
      <c r="C423" t="s">
        <v>820</v>
      </c>
      <c r="D423" t="s">
        <v>259</v>
      </c>
      <c r="E423" t="s">
        <v>259</v>
      </c>
      <c r="F423" t="s">
        <v>1386</v>
      </c>
      <c r="G423">
        <v>3</v>
      </c>
      <c r="H423">
        <v>3</v>
      </c>
      <c r="I423">
        <v>3</v>
      </c>
      <c r="J423" t="s">
        <v>193</v>
      </c>
      <c r="K423" t="s">
        <v>20</v>
      </c>
      <c r="L423" t="s">
        <v>1411</v>
      </c>
      <c r="M423" s="1">
        <v>46123</v>
      </c>
      <c r="N423" s="1">
        <v>46136</v>
      </c>
      <c r="O423" t="s">
        <v>1412</v>
      </c>
    </row>
    <row r="424" spans="1:15" x14ac:dyDescent="0.3">
      <c r="A424" t="s">
        <v>227</v>
      </c>
      <c r="B424" s="3">
        <v>3500000</v>
      </c>
      <c r="C424" t="s">
        <v>820</v>
      </c>
      <c r="D424" t="s">
        <v>259</v>
      </c>
      <c r="E424" t="s">
        <v>259</v>
      </c>
      <c r="F424" t="s">
        <v>1413</v>
      </c>
      <c r="G424">
        <v>2</v>
      </c>
      <c r="H424">
        <v>3</v>
      </c>
      <c r="I424">
        <v>3</v>
      </c>
      <c r="J424" t="s">
        <v>19</v>
      </c>
      <c r="K424" t="s">
        <v>20</v>
      </c>
      <c r="L424" t="s">
        <v>1414</v>
      </c>
      <c r="M424" s="1">
        <v>46100</v>
      </c>
      <c r="N424" s="1">
        <v>46136</v>
      </c>
      <c r="O424" t="s">
        <v>1415</v>
      </c>
    </row>
    <row r="425" spans="1:15" x14ac:dyDescent="0.3">
      <c r="A425" t="s">
        <v>1416</v>
      </c>
      <c r="B425" s="3">
        <v>4500000</v>
      </c>
      <c r="C425" t="s">
        <v>820</v>
      </c>
      <c r="D425" t="s">
        <v>259</v>
      </c>
      <c r="E425" t="s">
        <v>259</v>
      </c>
      <c r="F425" t="s">
        <v>1417</v>
      </c>
      <c r="G425">
        <v>2</v>
      </c>
      <c r="H425">
        <v>3</v>
      </c>
      <c r="I425">
        <v>3</v>
      </c>
      <c r="J425" t="s">
        <v>29</v>
      </c>
      <c r="K425" t="s">
        <v>20</v>
      </c>
      <c r="L425" t="s">
        <v>1418</v>
      </c>
      <c r="M425" s="1">
        <v>46128</v>
      </c>
      <c r="N425" s="1">
        <v>46136</v>
      </c>
      <c r="O425" t="s">
        <v>1419</v>
      </c>
    </row>
    <row r="426" spans="1:15" x14ac:dyDescent="0.3">
      <c r="A426" t="s">
        <v>1420</v>
      </c>
      <c r="B426" s="3">
        <v>160000000</v>
      </c>
      <c r="C426" t="s">
        <v>820</v>
      </c>
      <c r="D426" t="s">
        <v>259</v>
      </c>
      <c r="E426" t="s">
        <v>259</v>
      </c>
      <c r="F426" t="s">
        <v>1421</v>
      </c>
      <c r="G426">
        <v>5</v>
      </c>
      <c r="J426" t="s">
        <v>38</v>
      </c>
      <c r="K426" t="s">
        <v>20</v>
      </c>
      <c r="L426" t="s">
        <v>1422</v>
      </c>
      <c r="M426" s="1">
        <v>46091</v>
      </c>
      <c r="N426" s="1">
        <v>46136</v>
      </c>
      <c r="O426" t="s">
        <v>1423</v>
      </c>
    </row>
    <row r="427" spans="1:15" x14ac:dyDescent="0.3">
      <c r="A427" t="s">
        <v>208</v>
      </c>
      <c r="B427" s="3">
        <v>4500000</v>
      </c>
      <c r="C427" t="s">
        <v>820</v>
      </c>
      <c r="D427" t="s">
        <v>677</v>
      </c>
      <c r="E427" t="s">
        <v>677</v>
      </c>
      <c r="F427" t="s">
        <v>685</v>
      </c>
      <c r="G427">
        <v>2</v>
      </c>
      <c r="H427">
        <v>2</v>
      </c>
      <c r="I427">
        <v>3</v>
      </c>
      <c r="J427" t="s">
        <v>19</v>
      </c>
      <c r="K427" t="s">
        <v>20</v>
      </c>
      <c r="L427" t="s">
        <v>1424</v>
      </c>
      <c r="M427" s="1">
        <v>46091</v>
      </c>
      <c r="N427" s="1">
        <v>46136</v>
      </c>
      <c r="O427" t="s">
        <v>1425</v>
      </c>
    </row>
    <row r="428" spans="1:15" x14ac:dyDescent="0.3">
      <c r="A428" t="s">
        <v>204</v>
      </c>
      <c r="B428" s="3">
        <v>6000000</v>
      </c>
      <c r="C428" t="s">
        <v>820</v>
      </c>
      <c r="D428" t="s">
        <v>677</v>
      </c>
      <c r="E428" t="s">
        <v>677</v>
      </c>
      <c r="F428" t="s">
        <v>685</v>
      </c>
      <c r="G428">
        <v>4</v>
      </c>
      <c r="H428">
        <v>4</v>
      </c>
      <c r="I428">
        <v>4</v>
      </c>
      <c r="J428" t="s">
        <v>193</v>
      </c>
      <c r="K428" t="s">
        <v>20</v>
      </c>
      <c r="L428" t="s">
        <v>1426</v>
      </c>
      <c r="M428" s="1">
        <v>46091</v>
      </c>
      <c r="N428" s="1">
        <v>46136</v>
      </c>
      <c r="O428" t="s">
        <v>1427</v>
      </c>
    </row>
    <row r="429" spans="1:15" x14ac:dyDescent="0.3">
      <c r="A429" t="s">
        <v>138</v>
      </c>
      <c r="B429" s="3">
        <v>3000000</v>
      </c>
      <c r="C429" t="s">
        <v>820</v>
      </c>
      <c r="D429" t="s">
        <v>677</v>
      </c>
      <c r="E429" t="s">
        <v>677</v>
      </c>
      <c r="F429" t="s">
        <v>1428</v>
      </c>
      <c r="G429">
        <v>2</v>
      </c>
      <c r="H429">
        <v>2</v>
      </c>
      <c r="I429">
        <v>2</v>
      </c>
      <c r="J429" t="s">
        <v>19</v>
      </c>
      <c r="K429" t="s">
        <v>20</v>
      </c>
      <c r="L429" t="s">
        <v>1429</v>
      </c>
      <c r="M429" s="1">
        <v>46099</v>
      </c>
      <c r="N429" s="1">
        <v>46136</v>
      </c>
      <c r="O429" t="s">
        <v>1430</v>
      </c>
    </row>
    <row r="430" spans="1:15" x14ac:dyDescent="0.3">
      <c r="A430" t="s">
        <v>1431</v>
      </c>
      <c r="B430" s="3">
        <v>5500000</v>
      </c>
      <c r="C430" t="s">
        <v>820</v>
      </c>
      <c r="D430" t="s">
        <v>677</v>
      </c>
      <c r="E430" t="s">
        <v>677</v>
      </c>
      <c r="F430" t="s">
        <v>1432</v>
      </c>
      <c r="G430">
        <v>3</v>
      </c>
      <c r="H430">
        <v>3</v>
      </c>
      <c r="I430">
        <v>4</v>
      </c>
      <c r="J430" t="s">
        <v>19</v>
      </c>
      <c r="K430" t="s">
        <v>20</v>
      </c>
      <c r="L430" t="s">
        <v>1433</v>
      </c>
      <c r="M430" s="1">
        <v>46130</v>
      </c>
      <c r="N430" s="1">
        <v>46136</v>
      </c>
      <c r="O430" t="s">
        <v>1434</v>
      </c>
    </row>
    <row r="431" spans="1:15" x14ac:dyDescent="0.3">
      <c r="A431" t="s">
        <v>1435</v>
      </c>
      <c r="B431" s="3">
        <v>4000000</v>
      </c>
      <c r="C431" t="s">
        <v>820</v>
      </c>
      <c r="D431" t="s">
        <v>677</v>
      </c>
      <c r="E431" t="s">
        <v>677</v>
      </c>
      <c r="F431" t="s">
        <v>1428</v>
      </c>
      <c r="G431">
        <v>2</v>
      </c>
      <c r="H431">
        <v>2</v>
      </c>
      <c r="I431">
        <v>3</v>
      </c>
      <c r="J431" t="s">
        <v>19</v>
      </c>
      <c r="K431" t="s">
        <v>20</v>
      </c>
      <c r="L431" t="s">
        <v>1436</v>
      </c>
      <c r="M431" s="1">
        <v>46134</v>
      </c>
      <c r="N431" s="1">
        <v>46136</v>
      </c>
      <c r="O431" t="s">
        <v>1437</v>
      </c>
    </row>
    <row r="432" spans="1:15" x14ac:dyDescent="0.3">
      <c r="A432" t="s">
        <v>1292</v>
      </c>
      <c r="B432" s="3">
        <v>1100000</v>
      </c>
      <c r="C432" t="s">
        <v>820</v>
      </c>
      <c r="D432" t="s">
        <v>677</v>
      </c>
      <c r="E432" t="s">
        <v>677</v>
      </c>
      <c r="F432" t="s">
        <v>1438</v>
      </c>
      <c r="G432">
        <v>1</v>
      </c>
      <c r="H432">
        <v>1</v>
      </c>
      <c r="I432">
        <v>1</v>
      </c>
      <c r="J432" t="s">
        <v>19</v>
      </c>
      <c r="K432" t="s">
        <v>20</v>
      </c>
      <c r="L432" t="s">
        <v>1439</v>
      </c>
      <c r="M432" s="1">
        <v>46122</v>
      </c>
      <c r="N432" s="1">
        <v>46136</v>
      </c>
      <c r="O432" t="s">
        <v>1440</v>
      </c>
    </row>
    <row r="433" spans="1:15" x14ac:dyDescent="0.3">
      <c r="A433" t="s">
        <v>227</v>
      </c>
      <c r="B433" s="3">
        <v>4000000</v>
      </c>
      <c r="C433" t="s">
        <v>820</v>
      </c>
      <c r="D433" t="s">
        <v>677</v>
      </c>
      <c r="E433" t="s">
        <v>677</v>
      </c>
      <c r="F433" t="s">
        <v>719</v>
      </c>
      <c r="G433">
        <v>2</v>
      </c>
      <c r="H433">
        <v>2</v>
      </c>
      <c r="I433">
        <v>3</v>
      </c>
      <c r="J433" t="s">
        <v>19</v>
      </c>
      <c r="K433" t="s">
        <v>20</v>
      </c>
      <c r="L433" t="s">
        <v>1441</v>
      </c>
      <c r="M433" s="1">
        <v>46082</v>
      </c>
      <c r="N433" s="1">
        <v>46136</v>
      </c>
      <c r="O433" t="s">
        <v>1442</v>
      </c>
    </row>
    <row r="434" spans="1:15" x14ac:dyDescent="0.3">
      <c r="A434" t="s">
        <v>138</v>
      </c>
      <c r="B434" s="3">
        <v>5000000</v>
      </c>
      <c r="C434" t="s">
        <v>820</v>
      </c>
      <c r="D434" t="s">
        <v>677</v>
      </c>
      <c r="E434" t="s">
        <v>677</v>
      </c>
      <c r="F434" t="s">
        <v>1443</v>
      </c>
      <c r="G434">
        <v>2</v>
      </c>
      <c r="H434">
        <v>2</v>
      </c>
      <c r="I434">
        <v>3</v>
      </c>
      <c r="J434" t="s">
        <v>19</v>
      </c>
      <c r="K434" t="s">
        <v>20</v>
      </c>
      <c r="L434" t="s">
        <v>1444</v>
      </c>
      <c r="M434" s="1">
        <v>46073</v>
      </c>
      <c r="N434" s="1">
        <v>46136</v>
      </c>
      <c r="O434" t="s">
        <v>1445</v>
      </c>
    </row>
    <row r="435" spans="1:15" x14ac:dyDescent="0.3">
      <c r="A435" t="s">
        <v>138</v>
      </c>
      <c r="B435" s="3">
        <v>4000000</v>
      </c>
      <c r="C435" t="s">
        <v>820</v>
      </c>
      <c r="D435" t="s">
        <v>677</v>
      </c>
      <c r="E435" t="s">
        <v>677</v>
      </c>
      <c r="F435" t="s">
        <v>1428</v>
      </c>
      <c r="G435">
        <v>2</v>
      </c>
      <c r="H435">
        <v>2</v>
      </c>
      <c r="I435">
        <v>3</v>
      </c>
      <c r="J435" t="s">
        <v>19</v>
      </c>
      <c r="K435" t="s">
        <v>20</v>
      </c>
      <c r="L435" t="s">
        <v>1446</v>
      </c>
      <c r="M435" s="1">
        <v>46083</v>
      </c>
      <c r="N435" s="1">
        <v>46136</v>
      </c>
      <c r="O435" t="s">
        <v>1447</v>
      </c>
    </row>
    <row r="436" spans="1:15" x14ac:dyDescent="0.3">
      <c r="A436" t="s">
        <v>138</v>
      </c>
      <c r="B436" s="3">
        <v>4500000</v>
      </c>
      <c r="C436" t="s">
        <v>820</v>
      </c>
      <c r="D436" t="s">
        <v>677</v>
      </c>
      <c r="E436" t="s">
        <v>677</v>
      </c>
      <c r="F436" t="s">
        <v>1448</v>
      </c>
      <c r="G436">
        <v>2</v>
      </c>
      <c r="H436">
        <v>2</v>
      </c>
      <c r="I436">
        <v>2</v>
      </c>
      <c r="J436" t="s">
        <v>19</v>
      </c>
      <c r="K436" t="s">
        <v>20</v>
      </c>
      <c r="L436" t="s">
        <v>1449</v>
      </c>
      <c r="M436" s="1">
        <v>46100</v>
      </c>
      <c r="N436" s="1">
        <v>46136</v>
      </c>
      <c r="O436" t="s">
        <v>1450</v>
      </c>
    </row>
    <row r="437" spans="1:15" x14ac:dyDescent="0.3">
      <c r="A437" t="s">
        <v>715</v>
      </c>
      <c r="B437" s="3">
        <v>4000000</v>
      </c>
      <c r="C437" t="s">
        <v>820</v>
      </c>
      <c r="D437" t="s">
        <v>677</v>
      </c>
      <c r="E437" t="s">
        <v>677</v>
      </c>
      <c r="F437" t="s">
        <v>1451</v>
      </c>
      <c r="G437">
        <v>2</v>
      </c>
      <c r="H437">
        <v>2</v>
      </c>
      <c r="I437">
        <v>3</v>
      </c>
      <c r="J437" t="s">
        <v>19</v>
      </c>
      <c r="K437" t="s">
        <v>20</v>
      </c>
      <c r="L437" t="s">
        <v>1452</v>
      </c>
      <c r="M437" s="1">
        <v>46075</v>
      </c>
      <c r="N437" s="1">
        <v>46136</v>
      </c>
      <c r="O437" t="s">
        <v>1453</v>
      </c>
    </row>
    <row r="438" spans="1:15" x14ac:dyDescent="0.3">
      <c r="A438" t="s">
        <v>15</v>
      </c>
      <c r="B438" s="3">
        <v>4500000</v>
      </c>
      <c r="C438" t="s">
        <v>820</v>
      </c>
      <c r="D438" t="s">
        <v>677</v>
      </c>
      <c r="E438" t="s">
        <v>677</v>
      </c>
      <c r="F438" t="s">
        <v>1454</v>
      </c>
      <c r="G438">
        <v>3</v>
      </c>
      <c r="H438">
        <v>3</v>
      </c>
      <c r="I438">
        <v>4</v>
      </c>
      <c r="J438" t="s">
        <v>19</v>
      </c>
      <c r="K438" t="s">
        <v>20</v>
      </c>
      <c r="L438" t="s">
        <v>1455</v>
      </c>
      <c r="M438" s="1">
        <v>46087</v>
      </c>
      <c r="N438" s="1">
        <v>46136</v>
      </c>
      <c r="O438" t="s">
        <v>1456</v>
      </c>
    </row>
    <row r="439" spans="1:15" x14ac:dyDescent="0.3">
      <c r="A439" t="s">
        <v>138</v>
      </c>
      <c r="B439" s="3">
        <v>3000000</v>
      </c>
      <c r="C439" t="s">
        <v>820</v>
      </c>
      <c r="D439" t="s">
        <v>677</v>
      </c>
      <c r="E439" t="s">
        <v>677</v>
      </c>
      <c r="F439" t="s">
        <v>1432</v>
      </c>
      <c r="G439">
        <v>2</v>
      </c>
      <c r="H439">
        <v>2</v>
      </c>
      <c r="I439">
        <v>2</v>
      </c>
      <c r="J439" t="s">
        <v>19</v>
      </c>
      <c r="K439" t="s">
        <v>20</v>
      </c>
      <c r="L439" t="s">
        <v>1457</v>
      </c>
      <c r="M439" s="1">
        <v>46068</v>
      </c>
      <c r="N439" s="1">
        <v>46136</v>
      </c>
      <c r="O439" t="s">
        <v>1458</v>
      </c>
    </row>
    <row r="440" spans="1:15" x14ac:dyDescent="0.3">
      <c r="A440" t="s">
        <v>1459</v>
      </c>
      <c r="B440" s="3">
        <v>4500000</v>
      </c>
      <c r="C440" t="s">
        <v>820</v>
      </c>
      <c r="D440" t="s">
        <v>677</v>
      </c>
      <c r="E440" t="s">
        <v>677</v>
      </c>
      <c r="F440" t="s">
        <v>685</v>
      </c>
      <c r="G440">
        <v>3</v>
      </c>
      <c r="H440">
        <v>4</v>
      </c>
      <c r="I440">
        <v>4</v>
      </c>
      <c r="J440" t="s">
        <v>19</v>
      </c>
      <c r="K440" t="s">
        <v>20</v>
      </c>
      <c r="L440" t="s">
        <v>1460</v>
      </c>
      <c r="M440" s="1">
        <v>46125</v>
      </c>
      <c r="N440" s="1">
        <v>46135</v>
      </c>
      <c r="O440" t="s">
        <v>1461</v>
      </c>
    </row>
    <row r="441" spans="1:15" x14ac:dyDescent="0.3">
      <c r="A441" t="s">
        <v>1462</v>
      </c>
      <c r="B441" s="3">
        <v>4000000</v>
      </c>
      <c r="C441" t="s">
        <v>820</v>
      </c>
      <c r="D441" t="s">
        <v>677</v>
      </c>
      <c r="E441" t="s">
        <v>677</v>
      </c>
      <c r="F441" t="s">
        <v>1463</v>
      </c>
      <c r="G441">
        <v>2</v>
      </c>
      <c r="H441">
        <v>2</v>
      </c>
      <c r="J441" t="s">
        <v>19</v>
      </c>
      <c r="K441" t="s">
        <v>20</v>
      </c>
      <c r="L441" t="s">
        <v>1464</v>
      </c>
      <c r="M441" s="1">
        <v>46112</v>
      </c>
      <c r="N441" s="1">
        <v>46136</v>
      </c>
      <c r="O441" t="s">
        <v>1465</v>
      </c>
    </row>
    <row r="442" spans="1:15" x14ac:dyDescent="0.3">
      <c r="A442" t="s">
        <v>1466</v>
      </c>
      <c r="B442" s="3">
        <v>4500000</v>
      </c>
      <c r="C442" t="s">
        <v>820</v>
      </c>
      <c r="D442" t="s">
        <v>677</v>
      </c>
      <c r="E442" t="s">
        <v>677</v>
      </c>
      <c r="F442" t="s">
        <v>1467</v>
      </c>
      <c r="G442">
        <v>2</v>
      </c>
      <c r="H442">
        <v>3</v>
      </c>
      <c r="I442">
        <v>3</v>
      </c>
      <c r="J442" t="s">
        <v>19</v>
      </c>
      <c r="K442" t="s">
        <v>20</v>
      </c>
      <c r="L442" t="s">
        <v>1468</v>
      </c>
      <c r="M442" s="1">
        <v>46113</v>
      </c>
      <c r="N442" s="1">
        <v>46136</v>
      </c>
      <c r="O442" t="s">
        <v>1469</v>
      </c>
    </row>
    <row r="443" spans="1:15" x14ac:dyDescent="0.3">
      <c r="A443" t="s">
        <v>208</v>
      </c>
      <c r="B443" s="3">
        <v>3500000</v>
      </c>
      <c r="C443" t="s">
        <v>820</v>
      </c>
      <c r="D443" t="s">
        <v>677</v>
      </c>
      <c r="E443" t="s">
        <v>677</v>
      </c>
      <c r="F443" t="s">
        <v>685</v>
      </c>
      <c r="G443">
        <v>2</v>
      </c>
      <c r="H443">
        <v>3</v>
      </c>
      <c r="I443">
        <v>3</v>
      </c>
      <c r="J443" t="s">
        <v>19</v>
      </c>
      <c r="K443" t="s">
        <v>20</v>
      </c>
      <c r="L443" t="s">
        <v>1470</v>
      </c>
      <c r="M443" s="1">
        <v>46080</v>
      </c>
      <c r="N443" s="1">
        <v>46136</v>
      </c>
      <c r="O443" t="s">
        <v>1471</v>
      </c>
    </row>
    <row r="444" spans="1:15" x14ac:dyDescent="0.3">
      <c r="A444" t="s">
        <v>80</v>
      </c>
      <c r="B444" s="3">
        <v>20000000</v>
      </c>
      <c r="C444" t="s">
        <v>820</v>
      </c>
      <c r="D444" t="s">
        <v>677</v>
      </c>
      <c r="E444" t="s">
        <v>677</v>
      </c>
      <c r="F444" t="s">
        <v>685</v>
      </c>
      <c r="G444">
        <v>5</v>
      </c>
      <c r="H444">
        <v>6</v>
      </c>
      <c r="I444">
        <v>6</v>
      </c>
      <c r="J444" t="s">
        <v>38</v>
      </c>
      <c r="K444" t="s">
        <v>20</v>
      </c>
      <c r="L444" t="s">
        <v>1472</v>
      </c>
      <c r="M444" s="1">
        <v>46086</v>
      </c>
      <c r="N444" s="1">
        <v>46136</v>
      </c>
      <c r="O444" t="s">
        <v>1473</v>
      </c>
    </row>
    <row r="445" spans="1:15" x14ac:dyDescent="0.3">
      <c r="A445" t="s">
        <v>1474</v>
      </c>
      <c r="B445" s="3">
        <v>20000000</v>
      </c>
      <c r="C445" t="s">
        <v>820</v>
      </c>
      <c r="D445" t="s">
        <v>677</v>
      </c>
      <c r="E445" t="s">
        <v>677</v>
      </c>
      <c r="F445" t="s">
        <v>685</v>
      </c>
      <c r="G445">
        <v>5</v>
      </c>
      <c r="H445">
        <v>6</v>
      </c>
      <c r="I445">
        <v>6</v>
      </c>
      <c r="J445" t="s">
        <v>29</v>
      </c>
      <c r="K445" t="s">
        <v>20</v>
      </c>
      <c r="L445" t="s">
        <v>1475</v>
      </c>
      <c r="M445" s="1">
        <v>46086</v>
      </c>
      <c r="N445" s="1">
        <v>46136</v>
      </c>
      <c r="O445" t="s">
        <v>1476</v>
      </c>
    </row>
    <row r="446" spans="1:15" x14ac:dyDescent="0.3">
      <c r="A446" t="s">
        <v>1477</v>
      </c>
      <c r="B446" s="3">
        <v>20000000</v>
      </c>
      <c r="C446" t="s">
        <v>820</v>
      </c>
      <c r="D446" t="s">
        <v>733</v>
      </c>
      <c r="E446" t="s">
        <v>733</v>
      </c>
      <c r="F446" t="s">
        <v>1478</v>
      </c>
      <c r="G446">
        <v>4</v>
      </c>
      <c r="H446">
        <v>4</v>
      </c>
      <c r="I446">
        <v>5</v>
      </c>
      <c r="J446" t="s">
        <v>38</v>
      </c>
      <c r="K446" t="s">
        <v>20</v>
      </c>
      <c r="L446" t="s">
        <v>1479</v>
      </c>
      <c r="M446" s="1">
        <v>46138</v>
      </c>
      <c r="N446" s="1">
        <v>46138</v>
      </c>
      <c r="O446" t="s">
        <v>1480</v>
      </c>
    </row>
    <row r="447" spans="1:15" x14ac:dyDescent="0.3">
      <c r="A447" t="s">
        <v>1481</v>
      </c>
      <c r="B447" s="3">
        <v>25000000</v>
      </c>
      <c r="C447" t="s">
        <v>820</v>
      </c>
      <c r="D447" t="s">
        <v>733</v>
      </c>
      <c r="E447" t="s">
        <v>733</v>
      </c>
      <c r="F447" t="s">
        <v>1482</v>
      </c>
      <c r="G447">
        <v>4</v>
      </c>
      <c r="H447">
        <v>5</v>
      </c>
      <c r="I447">
        <v>5</v>
      </c>
      <c r="J447" t="s">
        <v>29</v>
      </c>
      <c r="K447" t="s">
        <v>20</v>
      </c>
      <c r="L447" t="s">
        <v>1483</v>
      </c>
      <c r="M447" s="1">
        <v>46131</v>
      </c>
      <c r="N447" s="1">
        <v>46136</v>
      </c>
      <c r="O447" t="s">
        <v>1484</v>
      </c>
    </row>
    <row r="448" spans="1:15" x14ac:dyDescent="0.3">
      <c r="A448" t="s">
        <v>1485</v>
      </c>
      <c r="B448" s="3">
        <v>30000000</v>
      </c>
      <c r="C448" t="s">
        <v>820</v>
      </c>
      <c r="D448" t="s">
        <v>733</v>
      </c>
      <c r="E448" t="s">
        <v>733</v>
      </c>
      <c r="F448" t="s">
        <v>1482</v>
      </c>
      <c r="G448">
        <v>4</v>
      </c>
      <c r="H448">
        <v>5</v>
      </c>
      <c r="I448">
        <v>5</v>
      </c>
      <c r="J448" t="s">
        <v>29</v>
      </c>
      <c r="K448" t="s">
        <v>20</v>
      </c>
      <c r="L448" t="s">
        <v>1486</v>
      </c>
      <c r="M448" s="1">
        <v>46131</v>
      </c>
      <c r="N448" s="1">
        <v>46136</v>
      </c>
      <c r="O448" t="s">
        <v>1487</v>
      </c>
    </row>
    <row r="449" spans="1:15" x14ac:dyDescent="0.3">
      <c r="A449" t="s">
        <v>1481</v>
      </c>
      <c r="B449" s="3">
        <v>25000000</v>
      </c>
      <c r="C449" t="s">
        <v>820</v>
      </c>
      <c r="D449" t="s">
        <v>733</v>
      </c>
      <c r="E449" t="s">
        <v>733</v>
      </c>
      <c r="F449" t="s">
        <v>1482</v>
      </c>
      <c r="G449">
        <v>4</v>
      </c>
      <c r="H449">
        <v>5</v>
      </c>
      <c r="I449">
        <v>5</v>
      </c>
      <c r="J449" t="s">
        <v>29</v>
      </c>
      <c r="K449" t="s">
        <v>20</v>
      </c>
      <c r="L449" t="s">
        <v>1488</v>
      </c>
      <c r="M449" s="1">
        <v>46131</v>
      </c>
      <c r="N449" s="1">
        <v>46136</v>
      </c>
      <c r="O449" t="s">
        <v>1489</v>
      </c>
    </row>
    <row r="450" spans="1:15" x14ac:dyDescent="0.3">
      <c r="A450" t="s">
        <v>199</v>
      </c>
      <c r="B450" s="3">
        <v>10000000</v>
      </c>
      <c r="C450" t="s">
        <v>820</v>
      </c>
      <c r="D450" t="s">
        <v>733</v>
      </c>
      <c r="E450" t="s">
        <v>733</v>
      </c>
      <c r="F450" t="s">
        <v>1490</v>
      </c>
      <c r="G450">
        <v>3</v>
      </c>
      <c r="H450">
        <v>3</v>
      </c>
      <c r="I450">
        <v>4</v>
      </c>
      <c r="J450" t="s">
        <v>19</v>
      </c>
      <c r="K450" t="s">
        <v>20</v>
      </c>
      <c r="L450" t="s">
        <v>1491</v>
      </c>
      <c r="M450" s="1">
        <v>46074</v>
      </c>
      <c r="N450" s="1">
        <v>46136</v>
      </c>
      <c r="O450" t="s">
        <v>1492</v>
      </c>
    </row>
    <row r="451" spans="1:15" x14ac:dyDescent="0.3">
      <c r="A451" t="s">
        <v>138</v>
      </c>
      <c r="B451" s="3">
        <v>5000000</v>
      </c>
      <c r="C451" t="s">
        <v>820</v>
      </c>
      <c r="D451" t="s">
        <v>733</v>
      </c>
      <c r="E451" t="s">
        <v>733</v>
      </c>
      <c r="F451" t="s">
        <v>1493</v>
      </c>
      <c r="G451">
        <v>2</v>
      </c>
      <c r="H451">
        <v>2</v>
      </c>
      <c r="J451" t="s">
        <v>19</v>
      </c>
      <c r="K451" t="s">
        <v>20</v>
      </c>
      <c r="L451" t="s">
        <v>1494</v>
      </c>
      <c r="M451" s="1">
        <v>46137</v>
      </c>
      <c r="O451" t="s">
        <v>1495</v>
      </c>
    </row>
    <row r="452" spans="1:15" x14ac:dyDescent="0.3">
      <c r="A452" t="s">
        <v>77</v>
      </c>
      <c r="B452" s="3">
        <v>17000000</v>
      </c>
      <c r="C452" t="s">
        <v>820</v>
      </c>
      <c r="D452" t="s">
        <v>733</v>
      </c>
      <c r="E452" t="s">
        <v>733</v>
      </c>
      <c r="F452" t="s">
        <v>734</v>
      </c>
      <c r="G452">
        <v>4</v>
      </c>
      <c r="H452">
        <v>4</v>
      </c>
      <c r="I452">
        <v>5</v>
      </c>
      <c r="J452" t="s">
        <v>29</v>
      </c>
      <c r="K452" t="s">
        <v>20</v>
      </c>
      <c r="L452" t="s">
        <v>1496</v>
      </c>
      <c r="M452" s="1">
        <v>45980</v>
      </c>
      <c r="N452" s="1">
        <v>46136</v>
      </c>
      <c r="O452" t="s">
        <v>1497</v>
      </c>
    </row>
    <row r="453" spans="1:15" x14ac:dyDescent="0.3">
      <c r="A453" t="s">
        <v>73</v>
      </c>
      <c r="B453" s="3">
        <v>12000000</v>
      </c>
      <c r="C453" t="s">
        <v>820</v>
      </c>
      <c r="D453" t="s">
        <v>733</v>
      </c>
      <c r="E453" t="s">
        <v>733</v>
      </c>
      <c r="F453" t="s">
        <v>734</v>
      </c>
      <c r="G453">
        <v>4</v>
      </c>
      <c r="H453">
        <v>4</v>
      </c>
      <c r="I453">
        <v>5</v>
      </c>
      <c r="J453" t="s">
        <v>38</v>
      </c>
      <c r="K453" t="s">
        <v>20</v>
      </c>
      <c r="L453" t="s">
        <v>1498</v>
      </c>
      <c r="M453" s="1">
        <v>45944</v>
      </c>
      <c r="N453" s="1">
        <v>46136</v>
      </c>
      <c r="O453" t="s">
        <v>1499</v>
      </c>
    </row>
    <row r="454" spans="1:15" x14ac:dyDescent="0.3">
      <c r="A454" t="s">
        <v>99</v>
      </c>
      <c r="B454" s="3">
        <v>16000000</v>
      </c>
      <c r="C454" t="s">
        <v>820</v>
      </c>
      <c r="D454" t="s">
        <v>733</v>
      </c>
      <c r="E454" t="s">
        <v>733</v>
      </c>
      <c r="F454" t="s">
        <v>1500</v>
      </c>
      <c r="G454">
        <v>4</v>
      </c>
      <c r="H454">
        <v>5</v>
      </c>
      <c r="J454" t="s">
        <v>38</v>
      </c>
      <c r="K454" t="s">
        <v>20</v>
      </c>
      <c r="L454" t="s">
        <v>1501</v>
      </c>
      <c r="M454" s="1">
        <v>46087</v>
      </c>
      <c r="N454" s="1">
        <v>46136</v>
      </c>
      <c r="O454" t="s">
        <v>1502</v>
      </c>
    </row>
    <row r="455" spans="1:15" x14ac:dyDescent="0.3">
      <c r="A455" t="s">
        <v>73</v>
      </c>
      <c r="B455" s="3">
        <v>15000000</v>
      </c>
      <c r="C455" t="s">
        <v>820</v>
      </c>
      <c r="D455" t="s">
        <v>733</v>
      </c>
      <c r="E455" t="s">
        <v>733</v>
      </c>
      <c r="F455" t="s">
        <v>1500</v>
      </c>
      <c r="G455">
        <v>4</v>
      </c>
      <c r="H455">
        <v>5</v>
      </c>
      <c r="J455" t="s">
        <v>38</v>
      </c>
      <c r="K455" t="s">
        <v>20</v>
      </c>
      <c r="L455" t="s">
        <v>1503</v>
      </c>
      <c r="M455" s="1">
        <v>46087</v>
      </c>
      <c r="N455" s="1">
        <v>46136</v>
      </c>
      <c r="O455" t="s">
        <v>1504</v>
      </c>
    </row>
    <row r="456" spans="1:15" x14ac:dyDescent="0.3">
      <c r="A456" t="s">
        <v>199</v>
      </c>
      <c r="B456" s="3">
        <v>10000000</v>
      </c>
      <c r="C456" t="s">
        <v>820</v>
      </c>
      <c r="D456" t="s">
        <v>733</v>
      </c>
      <c r="E456" t="s">
        <v>733</v>
      </c>
      <c r="F456" t="s">
        <v>1500</v>
      </c>
      <c r="G456">
        <v>3</v>
      </c>
      <c r="H456">
        <v>4</v>
      </c>
      <c r="J456" t="s">
        <v>19</v>
      </c>
      <c r="K456" t="s">
        <v>20</v>
      </c>
      <c r="L456" t="s">
        <v>1505</v>
      </c>
      <c r="M456" s="1">
        <v>46087</v>
      </c>
      <c r="N456" s="1">
        <v>46136</v>
      </c>
      <c r="O456" t="s">
        <v>1506</v>
      </c>
    </row>
    <row r="457" spans="1:15" x14ac:dyDescent="0.3">
      <c r="A457" t="s">
        <v>1507</v>
      </c>
      <c r="B457" s="3">
        <v>40000000</v>
      </c>
      <c r="C457" t="s">
        <v>820</v>
      </c>
      <c r="D457" t="s">
        <v>733</v>
      </c>
      <c r="E457" t="s">
        <v>733</v>
      </c>
      <c r="F457" t="s">
        <v>1500</v>
      </c>
      <c r="G457">
        <v>4</v>
      </c>
      <c r="H457">
        <v>5</v>
      </c>
      <c r="J457" t="s">
        <v>38</v>
      </c>
      <c r="K457" t="s">
        <v>20</v>
      </c>
      <c r="L457" t="s">
        <v>1508</v>
      </c>
      <c r="M457" s="1">
        <v>46087</v>
      </c>
      <c r="N457" s="1">
        <v>46136</v>
      </c>
      <c r="O457" t="s">
        <v>1509</v>
      </c>
    </row>
    <row r="458" spans="1:15" x14ac:dyDescent="0.3">
      <c r="A458" t="s">
        <v>380</v>
      </c>
      <c r="B458" s="3">
        <v>15000000</v>
      </c>
      <c r="C458" t="s">
        <v>820</v>
      </c>
      <c r="D458" t="s">
        <v>733</v>
      </c>
      <c r="E458" t="s">
        <v>733</v>
      </c>
      <c r="F458" t="s">
        <v>1510</v>
      </c>
      <c r="G458">
        <v>4</v>
      </c>
      <c r="H458">
        <v>5</v>
      </c>
      <c r="J458" t="s">
        <v>29</v>
      </c>
      <c r="K458" t="s">
        <v>20</v>
      </c>
      <c r="L458" t="s">
        <v>1511</v>
      </c>
      <c r="M458" s="1">
        <v>46087</v>
      </c>
      <c r="N458" s="1">
        <v>46136</v>
      </c>
      <c r="O458" t="s">
        <v>1512</v>
      </c>
    </row>
    <row r="459" spans="1:15" x14ac:dyDescent="0.3">
      <c r="A459" t="s">
        <v>1513</v>
      </c>
      <c r="B459" s="3">
        <v>35000000</v>
      </c>
      <c r="C459" t="s">
        <v>820</v>
      </c>
      <c r="D459" t="s">
        <v>733</v>
      </c>
      <c r="E459" t="s">
        <v>733</v>
      </c>
      <c r="F459" t="s">
        <v>1500</v>
      </c>
      <c r="G459">
        <v>4</v>
      </c>
      <c r="H459">
        <v>5</v>
      </c>
      <c r="I459">
        <v>5</v>
      </c>
      <c r="J459" t="s">
        <v>29</v>
      </c>
      <c r="K459" t="s">
        <v>20</v>
      </c>
      <c r="L459" t="s">
        <v>1514</v>
      </c>
      <c r="M459" s="1">
        <v>46104</v>
      </c>
      <c r="N459" s="1">
        <v>46136</v>
      </c>
      <c r="O459" t="s">
        <v>1515</v>
      </c>
    </row>
    <row r="460" spans="1:15" x14ac:dyDescent="0.3">
      <c r="A460" t="s">
        <v>1516</v>
      </c>
      <c r="B460" s="3">
        <v>15000000</v>
      </c>
      <c r="C460" t="s">
        <v>820</v>
      </c>
      <c r="D460" t="s">
        <v>733</v>
      </c>
      <c r="E460" t="s">
        <v>733</v>
      </c>
      <c r="F460" t="s">
        <v>1493</v>
      </c>
      <c r="G460">
        <v>4</v>
      </c>
      <c r="H460">
        <v>4</v>
      </c>
      <c r="J460" t="s">
        <v>29</v>
      </c>
      <c r="K460" t="s">
        <v>20</v>
      </c>
      <c r="L460" t="s">
        <v>1517</v>
      </c>
      <c r="M460" s="1">
        <v>46136</v>
      </c>
      <c r="N460" s="1">
        <v>46136</v>
      </c>
      <c r="O460" t="s">
        <v>1518</v>
      </c>
    </row>
    <row r="461" spans="1:15" x14ac:dyDescent="0.3">
      <c r="A461" t="s">
        <v>227</v>
      </c>
      <c r="B461" s="3">
        <v>7000000</v>
      </c>
      <c r="C461" t="s">
        <v>820</v>
      </c>
      <c r="D461" t="s">
        <v>733</v>
      </c>
      <c r="E461" t="s">
        <v>733</v>
      </c>
      <c r="F461" t="s">
        <v>1519</v>
      </c>
      <c r="G461">
        <v>2</v>
      </c>
      <c r="H461">
        <v>2</v>
      </c>
      <c r="J461" t="s">
        <v>19</v>
      </c>
      <c r="K461" t="s">
        <v>20</v>
      </c>
      <c r="L461" t="s">
        <v>1520</v>
      </c>
      <c r="M461" s="1">
        <v>46118</v>
      </c>
      <c r="N461" s="1">
        <v>46136</v>
      </c>
      <c r="O461" t="s">
        <v>1521</v>
      </c>
    </row>
    <row r="462" spans="1:15" x14ac:dyDescent="0.3">
      <c r="A462" t="s">
        <v>1522</v>
      </c>
      <c r="B462" s="3">
        <v>20000000</v>
      </c>
      <c r="C462" t="s">
        <v>820</v>
      </c>
      <c r="D462" t="s">
        <v>733</v>
      </c>
      <c r="E462" t="s">
        <v>733</v>
      </c>
      <c r="F462" t="s">
        <v>1493</v>
      </c>
      <c r="G462">
        <v>4</v>
      </c>
      <c r="H462">
        <v>4</v>
      </c>
      <c r="J462" t="s">
        <v>29</v>
      </c>
      <c r="K462" t="s">
        <v>20</v>
      </c>
      <c r="L462" t="s">
        <v>1523</v>
      </c>
      <c r="M462" s="1">
        <v>46134</v>
      </c>
      <c r="N462" s="1">
        <v>46136</v>
      </c>
      <c r="O462" t="s">
        <v>1524</v>
      </c>
    </row>
    <row r="463" spans="1:15" x14ac:dyDescent="0.3">
      <c r="A463" t="s">
        <v>1525</v>
      </c>
      <c r="B463" s="3">
        <v>19000000</v>
      </c>
      <c r="C463" t="s">
        <v>820</v>
      </c>
      <c r="D463" t="s">
        <v>733</v>
      </c>
      <c r="E463" t="s">
        <v>733</v>
      </c>
      <c r="F463" t="s">
        <v>1493</v>
      </c>
      <c r="G463">
        <v>4</v>
      </c>
      <c r="H463">
        <v>4</v>
      </c>
      <c r="J463" t="s">
        <v>29</v>
      </c>
      <c r="K463" t="s">
        <v>20</v>
      </c>
      <c r="L463" t="s">
        <v>1526</v>
      </c>
      <c r="M463" s="1">
        <v>46127</v>
      </c>
      <c r="N463" s="1">
        <v>46136</v>
      </c>
      <c r="O463" t="s">
        <v>1527</v>
      </c>
    </row>
    <row r="464" spans="1:15" x14ac:dyDescent="0.3">
      <c r="A464" t="s">
        <v>1528</v>
      </c>
      <c r="B464" s="3">
        <v>15000000</v>
      </c>
      <c r="C464" t="s">
        <v>820</v>
      </c>
      <c r="D464" t="s">
        <v>733</v>
      </c>
      <c r="E464" t="s">
        <v>733</v>
      </c>
      <c r="F464" t="s">
        <v>1493</v>
      </c>
      <c r="G464">
        <v>4</v>
      </c>
      <c r="H464">
        <v>4</v>
      </c>
      <c r="J464" t="s">
        <v>29</v>
      </c>
      <c r="K464" t="s">
        <v>20</v>
      </c>
      <c r="L464" t="s">
        <v>1529</v>
      </c>
      <c r="M464" s="1">
        <v>46122</v>
      </c>
      <c r="N464" s="1">
        <v>46136</v>
      </c>
      <c r="O464" t="s">
        <v>1530</v>
      </c>
    </row>
    <row r="465" spans="1:15" x14ac:dyDescent="0.3">
      <c r="A465" t="s">
        <v>1531</v>
      </c>
      <c r="B465" s="3">
        <v>30000000</v>
      </c>
      <c r="C465" t="s">
        <v>820</v>
      </c>
      <c r="D465" t="s">
        <v>733</v>
      </c>
      <c r="E465" t="s">
        <v>733</v>
      </c>
      <c r="F465" t="s">
        <v>1493</v>
      </c>
      <c r="G465">
        <v>4</v>
      </c>
      <c r="H465">
        <v>4</v>
      </c>
      <c r="J465" t="s">
        <v>70</v>
      </c>
      <c r="K465" t="s">
        <v>20</v>
      </c>
      <c r="L465" t="s">
        <v>1532</v>
      </c>
      <c r="M465" s="1">
        <v>46118</v>
      </c>
      <c r="N465" s="1">
        <v>46136</v>
      </c>
      <c r="O465" t="s">
        <v>1533</v>
      </c>
    </row>
    <row r="466" spans="1:15" x14ac:dyDescent="0.3">
      <c r="A466" t="s">
        <v>1534</v>
      </c>
      <c r="B466" s="3">
        <v>10000000</v>
      </c>
      <c r="C466" t="s">
        <v>820</v>
      </c>
      <c r="D466" t="s">
        <v>733</v>
      </c>
      <c r="E466" t="s">
        <v>733</v>
      </c>
      <c r="F466" t="s">
        <v>1493</v>
      </c>
      <c r="G466">
        <v>3</v>
      </c>
      <c r="H466">
        <v>3</v>
      </c>
      <c r="J466" t="s">
        <v>19</v>
      </c>
      <c r="K466" t="s">
        <v>20</v>
      </c>
      <c r="L466" t="s">
        <v>1535</v>
      </c>
      <c r="M466" s="1">
        <v>46132</v>
      </c>
      <c r="N466" s="1">
        <v>46136</v>
      </c>
      <c r="O466" t="s">
        <v>1536</v>
      </c>
    </row>
    <row r="467" spans="1:15" x14ac:dyDescent="0.3">
      <c r="A467" t="s">
        <v>1537</v>
      </c>
      <c r="B467" s="3">
        <v>15000000</v>
      </c>
      <c r="C467" t="s">
        <v>820</v>
      </c>
      <c r="D467" t="s">
        <v>783</v>
      </c>
      <c r="E467" t="s">
        <v>783</v>
      </c>
      <c r="F467" t="s">
        <v>1538</v>
      </c>
      <c r="G467">
        <v>2</v>
      </c>
      <c r="H467">
        <v>2</v>
      </c>
      <c r="I467">
        <v>3</v>
      </c>
      <c r="J467" t="s">
        <v>19</v>
      </c>
      <c r="K467" t="s">
        <v>20</v>
      </c>
      <c r="L467" t="s">
        <v>1539</v>
      </c>
      <c r="M467" s="1">
        <v>46139</v>
      </c>
      <c r="N467" s="1">
        <v>46139</v>
      </c>
      <c r="O467" t="s">
        <v>1540</v>
      </c>
    </row>
    <row r="468" spans="1:15" x14ac:dyDescent="0.3">
      <c r="A468" t="s">
        <v>1541</v>
      </c>
      <c r="B468" s="3">
        <v>10000000</v>
      </c>
      <c r="C468" t="s">
        <v>820</v>
      </c>
      <c r="D468" t="s">
        <v>783</v>
      </c>
      <c r="E468" t="s">
        <v>783</v>
      </c>
      <c r="F468" t="s">
        <v>1542</v>
      </c>
      <c r="G468">
        <v>2</v>
      </c>
      <c r="H468">
        <v>2</v>
      </c>
      <c r="I468">
        <v>3</v>
      </c>
      <c r="J468" t="s">
        <v>19</v>
      </c>
      <c r="K468" t="s">
        <v>20</v>
      </c>
      <c r="L468" t="s">
        <v>1543</v>
      </c>
      <c r="M468" s="1">
        <v>46114</v>
      </c>
      <c r="N468" s="1">
        <v>46136</v>
      </c>
      <c r="O468" t="s">
        <v>1544</v>
      </c>
    </row>
    <row r="469" spans="1:15" x14ac:dyDescent="0.3">
      <c r="A469" t="s">
        <v>1545</v>
      </c>
      <c r="B469" s="3">
        <v>13000000</v>
      </c>
      <c r="C469" t="s">
        <v>820</v>
      </c>
      <c r="D469" t="s">
        <v>783</v>
      </c>
      <c r="E469" t="s">
        <v>783</v>
      </c>
      <c r="F469" t="s">
        <v>1542</v>
      </c>
      <c r="G469">
        <v>4</v>
      </c>
      <c r="H469">
        <v>4</v>
      </c>
      <c r="I469">
        <v>5</v>
      </c>
      <c r="J469" t="s">
        <v>70</v>
      </c>
      <c r="K469" t="s">
        <v>20</v>
      </c>
      <c r="L469" t="s">
        <v>1546</v>
      </c>
      <c r="M469" s="1">
        <v>46135</v>
      </c>
      <c r="N469" s="1">
        <v>46136</v>
      </c>
      <c r="O469" t="s">
        <v>1547</v>
      </c>
    </row>
    <row r="470" spans="1:15" x14ac:dyDescent="0.3">
      <c r="A470" t="s">
        <v>1548</v>
      </c>
      <c r="B470" s="3">
        <v>8000000</v>
      </c>
      <c r="C470" t="s">
        <v>820</v>
      </c>
      <c r="D470" t="s">
        <v>783</v>
      </c>
      <c r="E470" t="s">
        <v>783</v>
      </c>
      <c r="F470" t="s">
        <v>784</v>
      </c>
      <c r="G470">
        <v>2</v>
      </c>
      <c r="H470">
        <v>3</v>
      </c>
      <c r="I470">
        <v>3</v>
      </c>
      <c r="J470" t="s">
        <v>19</v>
      </c>
      <c r="K470" t="s">
        <v>20</v>
      </c>
      <c r="L470" t="s">
        <v>1549</v>
      </c>
      <c r="M470" s="1">
        <v>46097</v>
      </c>
      <c r="N470" s="1">
        <v>46136</v>
      </c>
      <c r="O470" t="s">
        <v>1550</v>
      </c>
    </row>
    <row r="471" spans="1:15" x14ac:dyDescent="0.3">
      <c r="A471" t="s">
        <v>1548</v>
      </c>
      <c r="B471" s="3">
        <v>8000000</v>
      </c>
      <c r="C471" t="s">
        <v>820</v>
      </c>
      <c r="D471" t="s">
        <v>783</v>
      </c>
      <c r="E471" t="s">
        <v>783</v>
      </c>
      <c r="F471" t="s">
        <v>784</v>
      </c>
      <c r="G471">
        <v>2</v>
      </c>
      <c r="H471">
        <v>3</v>
      </c>
      <c r="I471">
        <v>3</v>
      </c>
      <c r="J471" t="s">
        <v>19</v>
      </c>
      <c r="K471" t="s">
        <v>20</v>
      </c>
      <c r="L471" t="s">
        <v>1551</v>
      </c>
      <c r="M471" s="1">
        <v>46097</v>
      </c>
      <c r="N471" s="1">
        <v>46136</v>
      </c>
      <c r="O471" t="s">
        <v>1552</v>
      </c>
    </row>
    <row r="472" spans="1:15" x14ac:dyDescent="0.3">
      <c r="A472" t="s">
        <v>1292</v>
      </c>
      <c r="B472" s="3">
        <v>2300000</v>
      </c>
      <c r="C472" t="s">
        <v>820</v>
      </c>
      <c r="D472" t="s">
        <v>783</v>
      </c>
      <c r="E472" t="s">
        <v>783</v>
      </c>
      <c r="F472" t="s">
        <v>792</v>
      </c>
      <c r="G472">
        <v>1</v>
      </c>
      <c r="H472">
        <v>1</v>
      </c>
      <c r="I472">
        <v>1</v>
      </c>
      <c r="J472" t="s">
        <v>19</v>
      </c>
      <c r="K472" t="s">
        <v>20</v>
      </c>
      <c r="L472" t="s">
        <v>1553</v>
      </c>
      <c r="M472" s="1">
        <v>46098</v>
      </c>
      <c r="N472" s="1">
        <v>46136</v>
      </c>
      <c r="O472" t="s">
        <v>1554</v>
      </c>
    </row>
    <row r="473" spans="1:15" x14ac:dyDescent="0.3">
      <c r="A473" t="s">
        <v>1555</v>
      </c>
      <c r="B473" s="3">
        <v>12000000</v>
      </c>
      <c r="C473" t="s">
        <v>820</v>
      </c>
      <c r="D473" t="s">
        <v>783</v>
      </c>
      <c r="E473" t="s">
        <v>783</v>
      </c>
      <c r="F473" t="s">
        <v>1556</v>
      </c>
      <c r="G473">
        <v>4</v>
      </c>
      <c r="H473">
        <v>4</v>
      </c>
      <c r="I473">
        <v>5</v>
      </c>
      <c r="J473" t="s">
        <v>38</v>
      </c>
      <c r="K473" t="s">
        <v>20</v>
      </c>
      <c r="L473" t="s">
        <v>1557</v>
      </c>
      <c r="M473" s="1">
        <v>46129</v>
      </c>
      <c r="N473" s="1">
        <v>46136</v>
      </c>
      <c r="O473" t="s">
        <v>1558</v>
      </c>
    </row>
    <row r="474" spans="1:15" x14ac:dyDescent="0.3">
      <c r="A474" t="s">
        <v>1296</v>
      </c>
      <c r="B474" s="3">
        <v>12000000</v>
      </c>
      <c r="C474" t="s">
        <v>820</v>
      </c>
      <c r="D474" t="s">
        <v>783</v>
      </c>
      <c r="E474" t="s">
        <v>783</v>
      </c>
      <c r="F474" t="s">
        <v>784</v>
      </c>
      <c r="G474">
        <v>3</v>
      </c>
      <c r="H474">
        <v>3</v>
      </c>
      <c r="I474">
        <v>4</v>
      </c>
      <c r="J474" t="s">
        <v>29</v>
      </c>
      <c r="K474" t="s">
        <v>20</v>
      </c>
      <c r="L474" t="s">
        <v>1559</v>
      </c>
      <c r="M474" s="1">
        <v>46113</v>
      </c>
      <c r="N474" s="1">
        <v>46136</v>
      </c>
      <c r="O474" t="s">
        <v>1560</v>
      </c>
    </row>
    <row r="475" spans="1:15" x14ac:dyDescent="0.3">
      <c r="A475" t="s">
        <v>15</v>
      </c>
      <c r="B475" s="3">
        <v>6000000</v>
      </c>
      <c r="C475" t="s">
        <v>820</v>
      </c>
      <c r="D475" t="s">
        <v>783</v>
      </c>
      <c r="E475" t="s">
        <v>783</v>
      </c>
      <c r="F475" t="s">
        <v>784</v>
      </c>
      <c r="G475">
        <v>3</v>
      </c>
      <c r="H475">
        <v>4</v>
      </c>
      <c r="I475">
        <v>4</v>
      </c>
      <c r="J475" t="s">
        <v>19</v>
      </c>
      <c r="K475" t="s">
        <v>20</v>
      </c>
      <c r="L475" t="s">
        <v>1561</v>
      </c>
      <c r="M475" s="1">
        <v>46105</v>
      </c>
      <c r="N475" s="1">
        <v>46135</v>
      </c>
      <c r="O475" t="s">
        <v>1562</v>
      </c>
    </row>
    <row r="476" spans="1:15" x14ac:dyDescent="0.3">
      <c r="A476" t="s">
        <v>1296</v>
      </c>
      <c r="B476" s="3">
        <v>12000000</v>
      </c>
      <c r="C476" t="s">
        <v>820</v>
      </c>
      <c r="D476" t="s">
        <v>783</v>
      </c>
      <c r="E476" t="s">
        <v>783</v>
      </c>
      <c r="F476" t="s">
        <v>784</v>
      </c>
      <c r="G476">
        <v>3</v>
      </c>
      <c r="H476">
        <v>3</v>
      </c>
      <c r="J476" t="s">
        <v>29</v>
      </c>
      <c r="K476" t="s">
        <v>20</v>
      </c>
      <c r="L476" t="s">
        <v>1563</v>
      </c>
      <c r="M476" s="1">
        <v>46113</v>
      </c>
      <c r="N476" s="1">
        <v>46136</v>
      </c>
      <c r="O476" t="s">
        <v>1564</v>
      </c>
    </row>
    <row r="477" spans="1:15" x14ac:dyDescent="0.3">
      <c r="A477" t="s">
        <v>1565</v>
      </c>
      <c r="B477" s="3">
        <v>12000000</v>
      </c>
      <c r="C477" t="s">
        <v>820</v>
      </c>
      <c r="D477" t="s">
        <v>783</v>
      </c>
      <c r="E477" t="s">
        <v>783</v>
      </c>
      <c r="F477" t="s">
        <v>1566</v>
      </c>
      <c r="G477">
        <v>4</v>
      </c>
      <c r="H477">
        <v>4</v>
      </c>
      <c r="I477">
        <v>5</v>
      </c>
      <c r="J477" t="s">
        <v>38</v>
      </c>
      <c r="K477" t="s">
        <v>20</v>
      </c>
      <c r="L477" t="s">
        <v>1567</v>
      </c>
      <c r="M477" s="1">
        <v>46130</v>
      </c>
      <c r="N477" s="1">
        <v>46136</v>
      </c>
      <c r="O477" t="s">
        <v>1568</v>
      </c>
    </row>
    <row r="478" spans="1:15" x14ac:dyDescent="0.3">
      <c r="A478" t="s">
        <v>15</v>
      </c>
      <c r="B478" s="3">
        <v>6000000</v>
      </c>
      <c r="C478" t="s">
        <v>820</v>
      </c>
      <c r="D478" t="s">
        <v>783</v>
      </c>
      <c r="E478" t="s">
        <v>783</v>
      </c>
      <c r="F478" t="s">
        <v>784</v>
      </c>
      <c r="G478">
        <v>3</v>
      </c>
      <c r="H478">
        <v>3</v>
      </c>
      <c r="I478">
        <v>3</v>
      </c>
      <c r="J478" t="s">
        <v>19</v>
      </c>
      <c r="K478" t="s">
        <v>20</v>
      </c>
      <c r="L478" t="s">
        <v>1569</v>
      </c>
      <c r="M478" s="1">
        <v>46108</v>
      </c>
      <c r="N478" s="1">
        <v>46136</v>
      </c>
      <c r="O478" t="s">
        <v>1570</v>
      </c>
    </row>
    <row r="479" spans="1:15" x14ac:dyDescent="0.3">
      <c r="A479" t="s">
        <v>1571</v>
      </c>
      <c r="B479" s="3">
        <v>12000000</v>
      </c>
      <c r="C479" t="s">
        <v>820</v>
      </c>
      <c r="D479" t="s">
        <v>783</v>
      </c>
      <c r="E479" t="s">
        <v>783</v>
      </c>
      <c r="F479" t="s">
        <v>1556</v>
      </c>
      <c r="G479">
        <v>4</v>
      </c>
      <c r="H479">
        <v>4</v>
      </c>
      <c r="I479">
        <v>5</v>
      </c>
      <c r="J479" t="s">
        <v>38</v>
      </c>
      <c r="K479" t="s">
        <v>20</v>
      </c>
      <c r="L479" t="s">
        <v>1572</v>
      </c>
      <c r="M479" s="1">
        <v>46128</v>
      </c>
      <c r="N479" s="1">
        <v>46136</v>
      </c>
      <c r="O479" t="s">
        <v>1573</v>
      </c>
    </row>
    <row r="480" spans="1:15" x14ac:dyDescent="0.3">
      <c r="A480" t="s">
        <v>1574</v>
      </c>
      <c r="B480" s="3">
        <v>2000000</v>
      </c>
      <c r="C480" t="s">
        <v>820</v>
      </c>
      <c r="D480" t="s">
        <v>783</v>
      </c>
      <c r="E480" t="s">
        <v>783</v>
      </c>
      <c r="F480" t="s">
        <v>784</v>
      </c>
      <c r="G480">
        <v>1</v>
      </c>
      <c r="H480">
        <v>1</v>
      </c>
      <c r="I480">
        <v>1</v>
      </c>
      <c r="J480" t="s">
        <v>19</v>
      </c>
      <c r="K480" t="s">
        <v>20</v>
      </c>
      <c r="L480" t="s">
        <v>1575</v>
      </c>
      <c r="M480" s="1">
        <v>46107</v>
      </c>
      <c r="N480" s="1">
        <v>46136</v>
      </c>
      <c r="O480" t="s">
        <v>1576</v>
      </c>
    </row>
    <row r="481" spans="1:15" x14ac:dyDescent="0.3">
      <c r="A481" t="s">
        <v>1577</v>
      </c>
      <c r="B481" s="3">
        <v>18000000</v>
      </c>
      <c r="C481" t="s">
        <v>820</v>
      </c>
      <c r="D481" t="s">
        <v>783</v>
      </c>
      <c r="E481" t="s">
        <v>783</v>
      </c>
      <c r="F481" t="s">
        <v>1578</v>
      </c>
      <c r="G481">
        <v>4</v>
      </c>
      <c r="H481">
        <v>4</v>
      </c>
      <c r="I481">
        <v>5</v>
      </c>
      <c r="J481" t="s">
        <v>29</v>
      </c>
      <c r="K481" t="s">
        <v>20</v>
      </c>
      <c r="L481" t="s">
        <v>1579</v>
      </c>
      <c r="M481" s="1">
        <v>45943</v>
      </c>
      <c r="N481" s="1">
        <v>46135</v>
      </c>
      <c r="O481" t="s">
        <v>1580</v>
      </c>
    </row>
    <row r="482" spans="1:15" x14ac:dyDescent="0.3">
      <c r="A482" t="s">
        <v>1581</v>
      </c>
      <c r="B482" s="3">
        <v>10000000</v>
      </c>
      <c r="C482" t="s">
        <v>820</v>
      </c>
      <c r="D482" t="s">
        <v>783</v>
      </c>
      <c r="E482" t="s">
        <v>783</v>
      </c>
      <c r="F482" t="s">
        <v>1538</v>
      </c>
      <c r="G482">
        <v>3</v>
      </c>
      <c r="H482">
        <v>4</v>
      </c>
      <c r="I482">
        <v>4</v>
      </c>
      <c r="J482" t="s">
        <v>70</v>
      </c>
      <c r="K482" t="s">
        <v>20</v>
      </c>
      <c r="L482" t="s">
        <v>1582</v>
      </c>
      <c r="M482" s="1">
        <v>46128</v>
      </c>
      <c r="N482" s="1">
        <v>46135</v>
      </c>
      <c r="O482" t="s">
        <v>1583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3AAC0-377C-4AD4-AAF6-B60E4DB817C8}">
  <sheetPr codeName="Sheet2">
    <tabColor rgb="FFFFA700"/>
  </sheetPr>
  <dimension ref="A1"/>
  <sheetViews>
    <sheetView showGridLines="0" showRowColHeaders="0" tabSelected="1" workbookViewId="0"/>
  </sheetViews>
  <sheetFormatPr defaultRowHeight="14.4" x14ac:dyDescent="0.3"/>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32E59-B772-4706-8CB4-7AE74876F6BF}">
  <sheetPr codeName="Sheet3">
    <tabColor theme="0" tint="-0.34998626667073579"/>
  </sheetPr>
  <dimension ref="A1:J251"/>
  <sheetViews>
    <sheetView topLeftCell="B1" workbookViewId="0">
      <selection activeCell="F1" sqref="F1"/>
    </sheetView>
  </sheetViews>
  <sheetFormatPr defaultRowHeight="14.4" x14ac:dyDescent="0.3"/>
  <cols>
    <col min="1" max="1" width="49.21875" bestFit="1" customWidth="1"/>
    <col min="2" max="2" width="14.88671875" bestFit="1" customWidth="1"/>
    <col min="3" max="3" width="19.33203125" bestFit="1" customWidth="1"/>
    <col min="4" max="4" width="12.5546875" customWidth="1"/>
    <col min="5" max="5" width="11.109375" bestFit="1" customWidth="1"/>
    <col min="6" max="6" width="75.77734375" bestFit="1" customWidth="1"/>
    <col min="7" max="7" width="11.44140625" customWidth="1"/>
    <col min="8" max="8" width="12.109375" customWidth="1"/>
    <col min="9" max="9" width="8" customWidth="1"/>
    <col min="10" max="10" width="19.5546875" bestFit="1" customWidth="1"/>
  </cols>
  <sheetData>
    <row r="1" spans="1:10" x14ac:dyDescent="0.3">
      <c r="A1" t="s">
        <v>0</v>
      </c>
      <c r="B1" t="s">
        <v>1</v>
      </c>
      <c r="C1" t="s">
        <v>1584</v>
      </c>
      <c r="D1" t="s">
        <v>2</v>
      </c>
      <c r="E1" t="s">
        <v>3</v>
      </c>
      <c r="F1" t="s">
        <v>5</v>
      </c>
      <c r="G1" t="s">
        <v>6</v>
      </c>
      <c r="H1" t="s">
        <v>7</v>
      </c>
      <c r="I1" t="s">
        <v>8</v>
      </c>
      <c r="J1" t="s">
        <v>9</v>
      </c>
    </row>
    <row r="2" spans="1:10" x14ac:dyDescent="0.3">
      <c r="A2" t="s">
        <v>819</v>
      </c>
      <c r="B2" s="5">
        <v>65000000</v>
      </c>
      <c r="C2" t="s">
        <v>1585</v>
      </c>
      <c r="D2" t="s">
        <v>820</v>
      </c>
      <c r="E2" t="s">
        <v>17</v>
      </c>
      <c r="F2" t="s">
        <v>37</v>
      </c>
      <c r="G2">
        <v>4</v>
      </c>
      <c r="H2">
        <v>5</v>
      </c>
      <c r="I2">
        <v>3</v>
      </c>
      <c r="J2" t="s">
        <v>29</v>
      </c>
    </row>
    <row r="3" spans="1:10" x14ac:dyDescent="0.3">
      <c r="A3" t="s">
        <v>32</v>
      </c>
      <c r="B3" s="5">
        <v>15000000</v>
      </c>
      <c r="C3" t="s">
        <v>1586</v>
      </c>
      <c r="D3" t="s">
        <v>820</v>
      </c>
      <c r="E3" t="s">
        <v>17</v>
      </c>
      <c r="F3" t="s">
        <v>37</v>
      </c>
      <c r="G3">
        <v>4</v>
      </c>
      <c r="H3">
        <v>4</v>
      </c>
      <c r="I3">
        <v>4</v>
      </c>
      <c r="J3" t="s">
        <v>19</v>
      </c>
    </row>
    <row r="4" spans="1:10" x14ac:dyDescent="0.3">
      <c r="A4" t="s">
        <v>133</v>
      </c>
      <c r="B4" s="5">
        <v>50000000</v>
      </c>
      <c r="C4" t="s">
        <v>1585</v>
      </c>
      <c r="D4" t="s">
        <v>820</v>
      </c>
      <c r="E4" t="s">
        <v>17</v>
      </c>
      <c r="F4" t="s">
        <v>37</v>
      </c>
      <c r="G4">
        <v>4</v>
      </c>
      <c r="H4">
        <v>4</v>
      </c>
      <c r="I4">
        <v>5</v>
      </c>
      <c r="J4" t="s">
        <v>29</v>
      </c>
    </row>
    <row r="5" spans="1:10" x14ac:dyDescent="0.3">
      <c r="A5" t="s">
        <v>827</v>
      </c>
      <c r="B5" s="5">
        <v>90000000</v>
      </c>
      <c r="C5" t="s">
        <v>1585</v>
      </c>
      <c r="D5" t="s">
        <v>820</v>
      </c>
      <c r="E5" t="s">
        <v>17</v>
      </c>
      <c r="F5" t="s">
        <v>37</v>
      </c>
      <c r="G5">
        <v>5</v>
      </c>
      <c r="H5">
        <v>6</v>
      </c>
      <c r="I5">
        <v>6</v>
      </c>
      <c r="J5" t="s">
        <v>38</v>
      </c>
    </row>
    <row r="6" spans="1:10" x14ac:dyDescent="0.3">
      <c r="A6" t="s">
        <v>144</v>
      </c>
      <c r="B6" s="5">
        <v>50000000</v>
      </c>
      <c r="C6" t="s">
        <v>1585</v>
      </c>
      <c r="D6" t="s">
        <v>820</v>
      </c>
      <c r="E6" t="s">
        <v>17</v>
      </c>
      <c r="F6" t="s">
        <v>37</v>
      </c>
      <c r="G6">
        <v>4</v>
      </c>
      <c r="H6">
        <v>4</v>
      </c>
      <c r="I6">
        <v>5</v>
      </c>
      <c r="J6" t="s">
        <v>38</v>
      </c>
    </row>
    <row r="7" spans="1:10" x14ac:dyDescent="0.3">
      <c r="A7" t="s">
        <v>497</v>
      </c>
      <c r="B7" s="5">
        <v>45000000</v>
      </c>
      <c r="C7" t="s">
        <v>1585</v>
      </c>
      <c r="D7" t="s">
        <v>820</v>
      </c>
      <c r="E7" t="s">
        <v>17</v>
      </c>
      <c r="F7" t="s">
        <v>37</v>
      </c>
      <c r="G7">
        <v>4</v>
      </c>
      <c r="H7">
        <v>4</v>
      </c>
      <c r="I7">
        <v>5</v>
      </c>
      <c r="J7" t="s">
        <v>70</v>
      </c>
    </row>
    <row r="8" spans="1:10" x14ac:dyDescent="0.3">
      <c r="A8" t="s">
        <v>804</v>
      </c>
      <c r="B8" s="5">
        <v>50000000</v>
      </c>
      <c r="C8" t="s">
        <v>1585</v>
      </c>
      <c r="D8" t="s">
        <v>820</v>
      </c>
      <c r="E8" t="s">
        <v>17</v>
      </c>
      <c r="F8" t="s">
        <v>37</v>
      </c>
      <c r="G8">
        <v>6</v>
      </c>
      <c r="H8">
        <v>4</v>
      </c>
      <c r="I8">
        <v>5</v>
      </c>
      <c r="J8" t="s">
        <v>38</v>
      </c>
    </row>
    <row r="9" spans="1:10" x14ac:dyDescent="0.3">
      <c r="A9" t="s">
        <v>133</v>
      </c>
      <c r="B9" s="5">
        <v>60000000</v>
      </c>
      <c r="C9" t="s">
        <v>1585</v>
      </c>
      <c r="D9" t="s">
        <v>820</v>
      </c>
      <c r="E9" t="s">
        <v>17</v>
      </c>
      <c r="F9" t="s">
        <v>836</v>
      </c>
      <c r="G9">
        <v>4</v>
      </c>
      <c r="H9">
        <v>6</v>
      </c>
      <c r="I9">
        <v>6</v>
      </c>
      <c r="J9" t="s">
        <v>29</v>
      </c>
    </row>
    <row r="10" spans="1:10" x14ac:dyDescent="0.3">
      <c r="A10" t="s">
        <v>839</v>
      </c>
      <c r="B10" s="5">
        <v>30000000</v>
      </c>
      <c r="C10" t="s">
        <v>1586</v>
      </c>
      <c r="D10" t="s">
        <v>820</v>
      </c>
      <c r="E10" t="s">
        <v>17</v>
      </c>
      <c r="F10" t="s">
        <v>836</v>
      </c>
      <c r="G10">
        <v>3</v>
      </c>
      <c r="H10">
        <v>4</v>
      </c>
      <c r="I10">
        <v>4</v>
      </c>
      <c r="J10" t="s">
        <v>19</v>
      </c>
    </row>
    <row r="11" spans="1:10" x14ac:dyDescent="0.3">
      <c r="A11" t="s">
        <v>842</v>
      </c>
      <c r="B11" s="5">
        <v>150000000</v>
      </c>
      <c r="C11" t="s">
        <v>1585</v>
      </c>
      <c r="D11" t="s">
        <v>820</v>
      </c>
      <c r="E11" t="s">
        <v>17</v>
      </c>
      <c r="F11" t="s">
        <v>836</v>
      </c>
      <c r="G11">
        <v>5</v>
      </c>
      <c r="H11">
        <v>8</v>
      </c>
      <c r="I11">
        <v>8</v>
      </c>
      <c r="J11" t="s">
        <v>38</v>
      </c>
    </row>
    <row r="12" spans="1:10" x14ac:dyDescent="0.3">
      <c r="A12" t="s">
        <v>138</v>
      </c>
      <c r="B12" s="5">
        <v>6000000</v>
      </c>
      <c r="C12" t="s">
        <v>1587</v>
      </c>
      <c r="D12" t="s">
        <v>820</v>
      </c>
      <c r="E12" t="s">
        <v>17</v>
      </c>
      <c r="F12" t="s">
        <v>18</v>
      </c>
      <c r="G12">
        <v>2</v>
      </c>
      <c r="H12">
        <v>2</v>
      </c>
      <c r="I12">
        <v>2</v>
      </c>
      <c r="J12" t="s">
        <v>19</v>
      </c>
    </row>
    <row r="13" spans="1:10" x14ac:dyDescent="0.3">
      <c r="A13" t="s">
        <v>847</v>
      </c>
      <c r="B13" s="5">
        <v>90000000</v>
      </c>
      <c r="C13" t="s">
        <v>1585</v>
      </c>
      <c r="D13" t="s">
        <v>820</v>
      </c>
      <c r="E13" t="s">
        <v>17</v>
      </c>
      <c r="F13" t="s">
        <v>18</v>
      </c>
      <c r="G13">
        <v>7</v>
      </c>
      <c r="H13">
        <v>7</v>
      </c>
      <c r="I13">
        <v>7</v>
      </c>
      <c r="J13" t="s">
        <v>38</v>
      </c>
    </row>
    <row r="14" spans="1:10" x14ac:dyDescent="0.3">
      <c r="A14" t="s">
        <v>850</v>
      </c>
      <c r="B14" s="5">
        <v>50000000</v>
      </c>
      <c r="C14" t="s">
        <v>1585</v>
      </c>
      <c r="D14" t="s">
        <v>820</v>
      </c>
      <c r="E14" t="s">
        <v>17</v>
      </c>
      <c r="F14" t="s">
        <v>18</v>
      </c>
      <c r="G14">
        <v>4</v>
      </c>
      <c r="H14">
        <v>4</v>
      </c>
      <c r="I14">
        <v>5</v>
      </c>
      <c r="J14" t="s">
        <v>70</v>
      </c>
    </row>
    <row r="15" spans="1:10" x14ac:dyDescent="0.3">
      <c r="A15" t="s">
        <v>380</v>
      </c>
      <c r="B15" s="5">
        <v>35000000</v>
      </c>
      <c r="C15" t="s">
        <v>1586</v>
      </c>
      <c r="D15" t="s">
        <v>820</v>
      </c>
      <c r="E15" t="s">
        <v>17</v>
      </c>
      <c r="F15" t="s">
        <v>18</v>
      </c>
      <c r="G15">
        <v>4</v>
      </c>
      <c r="H15">
        <v>4</v>
      </c>
      <c r="I15">
        <v>5</v>
      </c>
      <c r="J15" t="s">
        <v>29</v>
      </c>
    </row>
    <row r="16" spans="1:10" x14ac:dyDescent="0.3">
      <c r="A16" t="s">
        <v>380</v>
      </c>
      <c r="B16" s="5">
        <v>75000000</v>
      </c>
      <c r="C16" t="s">
        <v>1585</v>
      </c>
      <c r="D16" t="s">
        <v>820</v>
      </c>
      <c r="E16" t="s">
        <v>17</v>
      </c>
      <c r="F16" t="s">
        <v>37</v>
      </c>
      <c r="G16">
        <v>4</v>
      </c>
      <c r="H16">
        <v>4</v>
      </c>
      <c r="I16">
        <v>5</v>
      </c>
      <c r="J16" t="s">
        <v>29</v>
      </c>
    </row>
    <row r="17" spans="1:10" x14ac:dyDescent="0.3">
      <c r="A17" t="s">
        <v>352</v>
      </c>
      <c r="B17" s="5">
        <v>25000000</v>
      </c>
      <c r="C17" t="s">
        <v>1586</v>
      </c>
      <c r="D17" t="s">
        <v>820</v>
      </c>
      <c r="E17" t="s">
        <v>17</v>
      </c>
      <c r="F17" t="s">
        <v>37</v>
      </c>
      <c r="G17">
        <v>4</v>
      </c>
      <c r="H17">
        <v>4</v>
      </c>
      <c r="I17">
        <v>4</v>
      </c>
      <c r="J17" t="s">
        <v>38</v>
      </c>
    </row>
    <row r="18" spans="1:10" x14ac:dyDescent="0.3">
      <c r="A18" t="s">
        <v>859</v>
      </c>
      <c r="B18" s="5">
        <v>80000000</v>
      </c>
      <c r="C18" t="s">
        <v>1585</v>
      </c>
      <c r="D18" t="s">
        <v>820</v>
      </c>
      <c r="E18" t="s">
        <v>17</v>
      </c>
      <c r="F18" t="s">
        <v>37</v>
      </c>
      <c r="G18">
        <v>6</v>
      </c>
      <c r="H18">
        <v>6</v>
      </c>
      <c r="I18">
        <v>6</v>
      </c>
      <c r="J18" t="s">
        <v>38</v>
      </c>
    </row>
    <row r="19" spans="1:10" x14ac:dyDescent="0.3">
      <c r="A19" t="s">
        <v>862</v>
      </c>
      <c r="B19" s="5">
        <v>45000000</v>
      </c>
      <c r="C19" t="s">
        <v>1585</v>
      </c>
      <c r="D19" t="s">
        <v>820</v>
      </c>
      <c r="E19" t="s">
        <v>17</v>
      </c>
      <c r="F19" t="s">
        <v>37</v>
      </c>
      <c r="G19">
        <v>5</v>
      </c>
      <c r="H19">
        <v>5</v>
      </c>
      <c r="I19">
        <v>5</v>
      </c>
      <c r="J19" t="s">
        <v>29</v>
      </c>
    </row>
    <row r="20" spans="1:10" x14ac:dyDescent="0.3">
      <c r="A20" t="s">
        <v>865</v>
      </c>
      <c r="B20" s="5">
        <v>20000000</v>
      </c>
      <c r="C20" t="s">
        <v>1586</v>
      </c>
      <c r="D20" t="s">
        <v>820</v>
      </c>
      <c r="E20" t="s">
        <v>42</v>
      </c>
      <c r="F20" t="s">
        <v>56</v>
      </c>
      <c r="G20">
        <v>5</v>
      </c>
      <c r="H20">
        <v>5</v>
      </c>
      <c r="I20">
        <v>6</v>
      </c>
      <c r="J20" t="s">
        <v>70</v>
      </c>
    </row>
    <row r="21" spans="1:10" x14ac:dyDescent="0.3">
      <c r="A21" t="s">
        <v>868</v>
      </c>
      <c r="B21" s="5">
        <v>10000000</v>
      </c>
      <c r="C21" t="s">
        <v>1587</v>
      </c>
      <c r="D21" t="s">
        <v>820</v>
      </c>
      <c r="E21" t="s">
        <v>42</v>
      </c>
      <c r="F21" t="s">
        <v>869</v>
      </c>
      <c r="G21">
        <v>2</v>
      </c>
      <c r="H21">
        <v>3</v>
      </c>
      <c r="I21">
        <v>3</v>
      </c>
      <c r="J21" t="s">
        <v>193</v>
      </c>
    </row>
    <row r="22" spans="1:10" x14ac:dyDescent="0.3">
      <c r="A22" t="s">
        <v>872</v>
      </c>
      <c r="B22" s="5">
        <v>15000000</v>
      </c>
      <c r="C22" t="s">
        <v>1586</v>
      </c>
      <c r="D22" t="s">
        <v>820</v>
      </c>
      <c r="E22" t="s">
        <v>42</v>
      </c>
      <c r="F22" t="s">
        <v>869</v>
      </c>
      <c r="G22">
        <v>2</v>
      </c>
      <c r="H22">
        <v>3</v>
      </c>
      <c r="I22">
        <v>3</v>
      </c>
      <c r="J22" t="s">
        <v>19</v>
      </c>
    </row>
    <row r="23" spans="1:10" x14ac:dyDescent="0.3">
      <c r="A23" t="s">
        <v>156</v>
      </c>
      <c r="B23" s="5">
        <v>20000000</v>
      </c>
      <c r="C23" t="s">
        <v>1586</v>
      </c>
      <c r="D23" t="s">
        <v>820</v>
      </c>
      <c r="E23" t="s">
        <v>42</v>
      </c>
      <c r="F23" t="s">
        <v>875</v>
      </c>
      <c r="G23">
        <v>5</v>
      </c>
      <c r="H23">
        <v>6</v>
      </c>
      <c r="I23">
        <v>7</v>
      </c>
      <c r="J23" t="s">
        <v>29</v>
      </c>
    </row>
    <row r="24" spans="1:10" x14ac:dyDescent="0.3">
      <c r="A24" t="s">
        <v>878</v>
      </c>
      <c r="B24" s="5">
        <v>20000000</v>
      </c>
      <c r="C24" t="s">
        <v>1586</v>
      </c>
      <c r="D24" t="s">
        <v>820</v>
      </c>
      <c r="E24" t="s">
        <v>84</v>
      </c>
      <c r="F24" t="s">
        <v>90</v>
      </c>
      <c r="G24">
        <v>3</v>
      </c>
      <c r="H24">
        <v>3</v>
      </c>
      <c r="I24">
        <v>4</v>
      </c>
      <c r="J24" t="s">
        <v>19</v>
      </c>
    </row>
    <row r="25" spans="1:10" x14ac:dyDescent="0.3">
      <c r="A25" t="s">
        <v>881</v>
      </c>
      <c r="B25" s="5">
        <v>55000000</v>
      </c>
      <c r="C25" t="s">
        <v>1585</v>
      </c>
      <c r="D25" t="s">
        <v>820</v>
      </c>
      <c r="E25" t="s">
        <v>84</v>
      </c>
      <c r="F25" t="s">
        <v>882</v>
      </c>
      <c r="G25">
        <v>5</v>
      </c>
      <c r="H25">
        <v>5</v>
      </c>
      <c r="I25">
        <v>5</v>
      </c>
      <c r="J25" t="s">
        <v>38</v>
      </c>
    </row>
    <row r="26" spans="1:10" x14ac:dyDescent="0.3">
      <c r="A26" t="s">
        <v>885</v>
      </c>
      <c r="B26" s="5">
        <v>13000000</v>
      </c>
      <c r="C26" t="s">
        <v>1587</v>
      </c>
      <c r="D26" t="s">
        <v>820</v>
      </c>
      <c r="E26" t="s">
        <v>84</v>
      </c>
      <c r="F26" t="s">
        <v>90</v>
      </c>
      <c r="G26">
        <v>3</v>
      </c>
      <c r="H26">
        <v>3</v>
      </c>
      <c r="I26">
        <v>4</v>
      </c>
      <c r="J26" t="s">
        <v>19</v>
      </c>
    </row>
    <row r="27" spans="1:10" x14ac:dyDescent="0.3">
      <c r="A27" t="s">
        <v>888</v>
      </c>
      <c r="B27" s="5">
        <v>45000000</v>
      </c>
      <c r="C27" t="s">
        <v>1585</v>
      </c>
      <c r="D27" t="s">
        <v>820</v>
      </c>
      <c r="E27" t="s">
        <v>84</v>
      </c>
      <c r="F27" t="s">
        <v>889</v>
      </c>
      <c r="G27">
        <v>6</v>
      </c>
      <c r="H27">
        <v>6</v>
      </c>
      <c r="I27">
        <v>7</v>
      </c>
      <c r="J27" t="s">
        <v>38</v>
      </c>
    </row>
    <row r="28" spans="1:10" x14ac:dyDescent="0.3">
      <c r="A28" t="s">
        <v>199</v>
      </c>
      <c r="B28" s="5">
        <v>15000000</v>
      </c>
      <c r="C28" t="s">
        <v>1586</v>
      </c>
      <c r="D28" t="s">
        <v>820</v>
      </c>
      <c r="E28" t="s">
        <v>84</v>
      </c>
      <c r="F28" t="s">
        <v>892</v>
      </c>
      <c r="G28">
        <v>3</v>
      </c>
      <c r="H28">
        <v>4</v>
      </c>
      <c r="I28">
        <v>4</v>
      </c>
      <c r="J28" t="s">
        <v>19</v>
      </c>
    </row>
    <row r="29" spans="1:10" x14ac:dyDescent="0.3">
      <c r="A29" t="s">
        <v>895</v>
      </c>
      <c r="B29" s="5">
        <v>250000000</v>
      </c>
      <c r="C29" t="s">
        <v>1585</v>
      </c>
      <c r="D29" t="s">
        <v>820</v>
      </c>
      <c r="E29" t="s">
        <v>84</v>
      </c>
      <c r="F29" t="s">
        <v>892</v>
      </c>
      <c r="G29">
        <v>10</v>
      </c>
      <c r="H29">
        <v>10</v>
      </c>
      <c r="I29">
        <v>10</v>
      </c>
      <c r="J29" t="s">
        <v>193</v>
      </c>
    </row>
    <row r="30" spans="1:10" x14ac:dyDescent="0.3">
      <c r="A30" t="s">
        <v>898</v>
      </c>
      <c r="B30" s="5">
        <v>35000000</v>
      </c>
      <c r="C30" t="s">
        <v>1586</v>
      </c>
      <c r="D30" t="s">
        <v>820</v>
      </c>
      <c r="E30" t="s">
        <v>84</v>
      </c>
      <c r="F30" t="s">
        <v>90</v>
      </c>
      <c r="G30">
        <v>3</v>
      </c>
      <c r="H30">
        <v>4</v>
      </c>
      <c r="I30">
        <v>4</v>
      </c>
      <c r="J30" t="s">
        <v>19</v>
      </c>
    </row>
    <row r="31" spans="1:10" x14ac:dyDescent="0.3">
      <c r="A31" t="s">
        <v>497</v>
      </c>
      <c r="B31" s="5">
        <v>25000000</v>
      </c>
      <c r="C31" t="s">
        <v>1586</v>
      </c>
      <c r="D31" t="s">
        <v>820</v>
      </c>
      <c r="E31" t="s">
        <v>84</v>
      </c>
      <c r="F31" t="s">
        <v>90</v>
      </c>
      <c r="G31">
        <v>4</v>
      </c>
      <c r="H31">
        <v>4</v>
      </c>
      <c r="I31">
        <v>5</v>
      </c>
      <c r="J31" t="s">
        <v>70</v>
      </c>
    </row>
    <row r="32" spans="1:10" x14ac:dyDescent="0.3">
      <c r="A32" t="s">
        <v>903</v>
      </c>
      <c r="B32" s="5">
        <v>12000000</v>
      </c>
      <c r="C32" t="s">
        <v>1587</v>
      </c>
      <c r="D32" t="s">
        <v>820</v>
      </c>
      <c r="E32" t="s">
        <v>84</v>
      </c>
      <c r="F32" t="s">
        <v>904</v>
      </c>
      <c r="G32">
        <v>3</v>
      </c>
      <c r="H32">
        <v>3</v>
      </c>
      <c r="I32">
        <v>3</v>
      </c>
      <c r="J32" t="s">
        <v>19</v>
      </c>
    </row>
    <row r="33" spans="1:10" x14ac:dyDescent="0.3">
      <c r="A33" t="s">
        <v>907</v>
      </c>
      <c r="B33" s="5">
        <v>25000000</v>
      </c>
      <c r="C33" t="s">
        <v>1586</v>
      </c>
      <c r="D33" t="s">
        <v>820</v>
      </c>
      <c r="E33" t="s">
        <v>84</v>
      </c>
      <c r="F33" t="s">
        <v>904</v>
      </c>
      <c r="G33">
        <v>3</v>
      </c>
      <c r="H33">
        <v>3</v>
      </c>
      <c r="I33">
        <v>4</v>
      </c>
      <c r="J33" t="s">
        <v>29</v>
      </c>
    </row>
    <row r="34" spans="1:10" x14ac:dyDescent="0.3">
      <c r="A34" t="s">
        <v>138</v>
      </c>
      <c r="B34" s="5">
        <v>5000000</v>
      </c>
      <c r="C34" t="s">
        <v>1587</v>
      </c>
      <c r="D34" t="s">
        <v>820</v>
      </c>
      <c r="E34" t="s">
        <v>84</v>
      </c>
      <c r="F34" t="s">
        <v>904</v>
      </c>
      <c r="G34">
        <v>2</v>
      </c>
      <c r="H34">
        <v>2</v>
      </c>
      <c r="I34">
        <v>2</v>
      </c>
      <c r="J34" t="s">
        <v>19</v>
      </c>
    </row>
    <row r="35" spans="1:10" x14ac:dyDescent="0.3">
      <c r="A35" t="s">
        <v>912</v>
      </c>
      <c r="B35" s="5">
        <v>4000000</v>
      </c>
      <c r="C35" t="s">
        <v>1588</v>
      </c>
      <c r="D35" t="s">
        <v>820</v>
      </c>
      <c r="E35" t="s">
        <v>84</v>
      </c>
      <c r="F35" t="s">
        <v>904</v>
      </c>
      <c r="G35">
        <v>1</v>
      </c>
      <c r="H35">
        <v>1</v>
      </c>
      <c r="I35">
        <v>1</v>
      </c>
      <c r="J35" t="s">
        <v>19</v>
      </c>
    </row>
    <row r="36" spans="1:10" x14ac:dyDescent="0.3">
      <c r="A36" t="s">
        <v>915</v>
      </c>
      <c r="B36" s="5">
        <v>25000000</v>
      </c>
      <c r="C36" t="s">
        <v>1586</v>
      </c>
      <c r="D36" t="s">
        <v>820</v>
      </c>
      <c r="E36" t="s">
        <v>84</v>
      </c>
      <c r="F36" t="s">
        <v>90</v>
      </c>
      <c r="G36">
        <v>5</v>
      </c>
      <c r="H36">
        <v>5</v>
      </c>
      <c r="I36">
        <v>5</v>
      </c>
      <c r="J36" t="s">
        <v>29</v>
      </c>
    </row>
    <row r="37" spans="1:10" x14ac:dyDescent="0.3">
      <c r="A37" t="s">
        <v>918</v>
      </c>
      <c r="B37" s="5">
        <v>13000000</v>
      </c>
      <c r="C37" t="s">
        <v>1587</v>
      </c>
      <c r="D37" t="s">
        <v>820</v>
      </c>
      <c r="E37" t="s">
        <v>84</v>
      </c>
      <c r="F37" t="s">
        <v>90</v>
      </c>
      <c r="G37">
        <v>2</v>
      </c>
      <c r="H37">
        <v>2</v>
      </c>
      <c r="I37">
        <v>3</v>
      </c>
      <c r="J37" t="s">
        <v>19</v>
      </c>
    </row>
    <row r="38" spans="1:10" x14ac:dyDescent="0.3">
      <c r="A38" t="s">
        <v>921</v>
      </c>
      <c r="B38" s="5">
        <v>25000000</v>
      </c>
      <c r="C38" t="s">
        <v>1586</v>
      </c>
      <c r="D38" t="s">
        <v>820</v>
      </c>
      <c r="E38" t="s">
        <v>84</v>
      </c>
      <c r="F38" t="s">
        <v>922</v>
      </c>
      <c r="G38">
        <v>4</v>
      </c>
      <c r="H38">
        <v>5</v>
      </c>
      <c r="I38">
        <v>5</v>
      </c>
      <c r="J38" t="s">
        <v>38</v>
      </c>
    </row>
    <row r="39" spans="1:10" x14ac:dyDescent="0.3">
      <c r="A39" t="s">
        <v>925</v>
      </c>
      <c r="B39" s="5">
        <v>30000000</v>
      </c>
      <c r="C39" t="s">
        <v>1586</v>
      </c>
      <c r="D39" t="s">
        <v>820</v>
      </c>
      <c r="E39" t="s">
        <v>134</v>
      </c>
      <c r="F39" t="s">
        <v>926</v>
      </c>
      <c r="G39">
        <v>6</v>
      </c>
      <c r="H39">
        <v>6</v>
      </c>
      <c r="I39">
        <v>7</v>
      </c>
      <c r="J39" t="s">
        <v>38</v>
      </c>
    </row>
    <row r="40" spans="1:10" x14ac:dyDescent="0.3">
      <c r="A40" t="s">
        <v>929</v>
      </c>
      <c r="B40" s="5">
        <v>4000000</v>
      </c>
      <c r="C40" t="s">
        <v>1588</v>
      </c>
      <c r="D40" t="s">
        <v>820</v>
      </c>
      <c r="E40" t="s">
        <v>134</v>
      </c>
      <c r="F40" t="s">
        <v>930</v>
      </c>
      <c r="G40">
        <v>2</v>
      </c>
      <c r="H40">
        <v>2</v>
      </c>
      <c r="I40">
        <v>3</v>
      </c>
      <c r="J40" t="s">
        <v>19</v>
      </c>
    </row>
    <row r="41" spans="1:10" x14ac:dyDescent="0.3">
      <c r="A41" t="s">
        <v>77</v>
      </c>
      <c r="B41" s="5">
        <v>12000000</v>
      </c>
      <c r="C41" t="s">
        <v>1587</v>
      </c>
      <c r="D41" t="s">
        <v>820</v>
      </c>
      <c r="E41" t="s">
        <v>134</v>
      </c>
      <c r="F41" t="s">
        <v>135</v>
      </c>
      <c r="G41">
        <v>4</v>
      </c>
      <c r="H41">
        <v>4</v>
      </c>
      <c r="I41">
        <v>5</v>
      </c>
      <c r="J41" t="s">
        <v>29</v>
      </c>
    </row>
    <row r="42" spans="1:10" x14ac:dyDescent="0.3">
      <c r="A42" t="s">
        <v>903</v>
      </c>
      <c r="B42" s="5">
        <v>7000000</v>
      </c>
      <c r="C42" t="s">
        <v>1587</v>
      </c>
      <c r="D42" t="s">
        <v>820</v>
      </c>
      <c r="E42" t="s">
        <v>134</v>
      </c>
      <c r="F42" t="s">
        <v>176</v>
      </c>
      <c r="G42">
        <v>3</v>
      </c>
      <c r="H42">
        <v>3</v>
      </c>
      <c r="I42">
        <v>4</v>
      </c>
      <c r="J42" t="s">
        <v>19</v>
      </c>
    </row>
    <row r="43" spans="1:10" x14ac:dyDescent="0.3">
      <c r="A43" t="s">
        <v>937</v>
      </c>
      <c r="B43" s="5">
        <v>15000000</v>
      </c>
      <c r="C43" t="s">
        <v>1586</v>
      </c>
      <c r="D43" t="s">
        <v>820</v>
      </c>
      <c r="E43" t="s">
        <v>134</v>
      </c>
      <c r="F43" t="s">
        <v>938</v>
      </c>
      <c r="G43">
        <v>5</v>
      </c>
      <c r="H43">
        <v>5</v>
      </c>
      <c r="I43">
        <v>6</v>
      </c>
      <c r="J43" t="s">
        <v>70</v>
      </c>
    </row>
    <row r="44" spans="1:10" x14ac:dyDescent="0.3">
      <c r="A44" t="s">
        <v>941</v>
      </c>
      <c r="B44" s="5">
        <v>6000000</v>
      </c>
      <c r="C44" t="s">
        <v>1587</v>
      </c>
      <c r="D44" t="s">
        <v>820</v>
      </c>
      <c r="E44" t="s">
        <v>134</v>
      </c>
      <c r="F44" t="s">
        <v>942</v>
      </c>
      <c r="G44">
        <v>4</v>
      </c>
      <c r="H44">
        <v>5</v>
      </c>
      <c r="I44">
        <v>5</v>
      </c>
      <c r="J44" t="s">
        <v>38</v>
      </c>
    </row>
    <row r="45" spans="1:10" x14ac:dyDescent="0.3">
      <c r="A45" t="s">
        <v>945</v>
      </c>
      <c r="B45" s="5">
        <v>5000000</v>
      </c>
      <c r="C45" t="s">
        <v>1587</v>
      </c>
      <c r="D45" t="s">
        <v>820</v>
      </c>
      <c r="E45" t="s">
        <v>134</v>
      </c>
      <c r="F45" t="s">
        <v>946</v>
      </c>
      <c r="G45">
        <v>3</v>
      </c>
      <c r="H45">
        <v>4</v>
      </c>
      <c r="I45">
        <v>4</v>
      </c>
      <c r="J45" t="s">
        <v>19</v>
      </c>
    </row>
    <row r="46" spans="1:10" x14ac:dyDescent="0.3">
      <c r="A46" t="s">
        <v>949</v>
      </c>
      <c r="B46" s="5">
        <v>3500000</v>
      </c>
      <c r="C46" t="s">
        <v>1588</v>
      </c>
      <c r="D46" t="s">
        <v>820</v>
      </c>
      <c r="E46" t="s">
        <v>134</v>
      </c>
      <c r="F46" t="s">
        <v>950</v>
      </c>
      <c r="G46">
        <v>2</v>
      </c>
      <c r="H46">
        <v>3</v>
      </c>
      <c r="I46">
        <v>3</v>
      </c>
      <c r="J46" t="s">
        <v>19</v>
      </c>
    </row>
    <row r="47" spans="1:10" x14ac:dyDescent="0.3">
      <c r="A47" t="s">
        <v>641</v>
      </c>
      <c r="B47" s="5">
        <v>7000000</v>
      </c>
      <c r="C47" t="s">
        <v>1587</v>
      </c>
      <c r="D47" t="s">
        <v>820</v>
      </c>
      <c r="E47" t="s">
        <v>134</v>
      </c>
      <c r="F47" t="s">
        <v>164</v>
      </c>
      <c r="G47">
        <v>3</v>
      </c>
      <c r="H47">
        <v>4</v>
      </c>
      <c r="I47">
        <v>4</v>
      </c>
      <c r="J47" t="s">
        <v>29</v>
      </c>
    </row>
    <row r="48" spans="1:10" x14ac:dyDescent="0.3">
      <c r="A48" t="s">
        <v>199</v>
      </c>
      <c r="B48" s="5">
        <v>10000000</v>
      </c>
      <c r="C48" t="s">
        <v>1587</v>
      </c>
      <c r="D48" t="s">
        <v>820</v>
      </c>
      <c r="E48" t="s">
        <v>134</v>
      </c>
      <c r="F48" t="s">
        <v>955</v>
      </c>
      <c r="G48">
        <v>3</v>
      </c>
      <c r="H48">
        <v>4</v>
      </c>
      <c r="I48">
        <v>4</v>
      </c>
      <c r="J48" t="s">
        <v>19</v>
      </c>
    </row>
    <row r="49" spans="1:10" x14ac:dyDescent="0.3">
      <c r="A49" t="s">
        <v>912</v>
      </c>
      <c r="B49" s="5">
        <v>2500000</v>
      </c>
      <c r="C49" t="s">
        <v>1588</v>
      </c>
      <c r="D49" t="s">
        <v>820</v>
      </c>
      <c r="E49" t="s">
        <v>134</v>
      </c>
      <c r="F49" t="s">
        <v>958</v>
      </c>
      <c r="G49">
        <v>1</v>
      </c>
      <c r="H49">
        <v>1</v>
      </c>
      <c r="I49">
        <v>2</v>
      </c>
      <c r="J49" t="s">
        <v>19</v>
      </c>
    </row>
    <row r="50" spans="1:10" x14ac:dyDescent="0.3">
      <c r="A50" t="s">
        <v>912</v>
      </c>
      <c r="B50" s="5">
        <v>3000000</v>
      </c>
      <c r="C50" t="s">
        <v>1588</v>
      </c>
      <c r="D50" t="s">
        <v>820</v>
      </c>
      <c r="E50" t="s">
        <v>134</v>
      </c>
      <c r="F50" t="s">
        <v>958</v>
      </c>
      <c r="G50">
        <v>1</v>
      </c>
      <c r="H50">
        <v>1</v>
      </c>
      <c r="I50">
        <v>2</v>
      </c>
      <c r="J50" t="s">
        <v>19</v>
      </c>
    </row>
    <row r="51" spans="1:10" x14ac:dyDescent="0.3">
      <c r="A51" t="s">
        <v>963</v>
      </c>
      <c r="B51" s="5">
        <v>2500000</v>
      </c>
      <c r="C51" t="s">
        <v>1588</v>
      </c>
      <c r="D51" t="s">
        <v>820</v>
      </c>
      <c r="E51" t="s">
        <v>134</v>
      </c>
      <c r="F51" t="s">
        <v>958</v>
      </c>
      <c r="G51">
        <v>1</v>
      </c>
      <c r="H51">
        <v>1</v>
      </c>
      <c r="I51">
        <v>2</v>
      </c>
      <c r="J51" t="s">
        <v>19</v>
      </c>
    </row>
    <row r="52" spans="1:10" x14ac:dyDescent="0.3">
      <c r="A52" t="s">
        <v>966</v>
      </c>
      <c r="B52" s="5">
        <v>6000000</v>
      </c>
      <c r="C52" t="s">
        <v>1587</v>
      </c>
      <c r="D52" t="s">
        <v>820</v>
      </c>
      <c r="E52" t="s">
        <v>200</v>
      </c>
      <c r="F52" t="s">
        <v>967</v>
      </c>
      <c r="G52">
        <v>2</v>
      </c>
      <c r="H52">
        <v>2</v>
      </c>
      <c r="I52">
        <v>3</v>
      </c>
      <c r="J52" t="s">
        <v>19</v>
      </c>
    </row>
    <row r="53" spans="1:10" x14ac:dyDescent="0.3">
      <c r="A53" t="s">
        <v>970</v>
      </c>
      <c r="B53" s="5">
        <v>6000000</v>
      </c>
      <c r="C53" t="s">
        <v>1587</v>
      </c>
      <c r="D53" t="s">
        <v>820</v>
      </c>
      <c r="E53" t="s">
        <v>200</v>
      </c>
      <c r="F53" t="s">
        <v>971</v>
      </c>
      <c r="G53">
        <v>2</v>
      </c>
      <c r="H53">
        <v>2</v>
      </c>
      <c r="I53">
        <v>2</v>
      </c>
      <c r="J53" t="s">
        <v>70</v>
      </c>
    </row>
    <row r="54" spans="1:10" x14ac:dyDescent="0.3">
      <c r="A54" t="s">
        <v>974</v>
      </c>
      <c r="B54" s="5">
        <v>8000000</v>
      </c>
      <c r="C54" t="s">
        <v>1587</v>
      </c>
      <c r="D54" t="s">
        <v>820</v>
      </c>
      <c r="E54" t="s">
        <v>200</v>
      </c>
      <c r="F54" t="s">
        <v>228</v>
      </c>
      <c r="G54">
        <v>4</v>
      </c>
      <c r="H54">
        <v>5</v>
      </c>
      <c r="I54">
        <v>5</v>
      </c>
      <c r="J54" t="s">
        <v>38</v>
      </c>
    </row>
    <row r="55" spans="1:10" x14ac:dyDescent="0.3">
      <c r="A55" t="s">
        <v>977</v>
      </c>
      <c r="B55" s="5">
        <v>3000000</v>
      </c>
      <c r="C55" t="s">
        <v>1588</v>
      </c>
      <c r="D55" t="s">
        <v>820</v>
      </c>
      <c r="E55" t="s">
        <v>200</v>
      </c>
      <c r="F55" t="s">
        <v>978</v>
      </c>
      <c r="G55">
        <v>2</v>
      </c>
      <c r="H55">
        <v>3</v>
      </c>
      <c r="I55">
        <v>3</v>
      </c>
      <c r="J55" t="s">
        <v>19</v>
      </c>
    </row>
    <row r="56" spans="1:10" x14ac:dyDescent="0.3">
      <c r="A56" t="s">
        <v>981</v>
      </c>
      <c r="B56" s="5">
        <v>3000000</v>
      </c>
      <c r="C56" t="s">
        <v>1588</v>
      </c>
      <c r="D56" t="s">
        <v>820</v>
      </c>
      <c r="E56" t="s">
        <v>200</v>
      </c>
      <c r="F56" t="s">
        <v>982</v>
      </c>
      <c r="G56">
        <v>2</v>
      </c>
      <c r="H56">
        <v>3</v>
      </c>
      <c r="I56">
        <v>3</v>
      </c>
      <c r="J56" t="s">
        <v>19</v>
      </c>
    </row>
    <row r="57" spans="1:10" x14ac:dyDescent="0.3">
      <c r="A57" t="s">
        <v>985</v>
      </c>
      <c r="B57" s="5">
        <v>5000000</v>
      </c>
      <c r="C57" t="s">
        <v>1587</v>
      </c>
      <c r="D57" t="s">
        <v>820</v>
      </c>
      <c r="E57" t="s">
        <v>200</v>
      </c>
      <c r="F57" t="s">
        <v>228</v>
      </c>
      <c r="G57">
        <v>3</v>
      </c>
      <c r="H57">
        <v>4</v>
      </c>
      <c r="I57">
        <v>4</v>
      </c>
      <c r="J57" t="s">
        <v>19</v>
      </c>
    </row>
    <row r="58" spans="1:10" x14ac:dyDescent="0.3">
      <c r="A58" t="s">
        <v>988</v>
      </c>
      <c r="B58" s="5">
        <v>6000000</v>
      </c>
      <c r="C58" t="s">
        <v>1587</v>
      </c>
      <c r="D58" t="s">
        <v>820</v>
      </c>
      <c r="E58" t="s">
        <v>200</v>
      </c>
      <c r="F58" t="s">
        <v>989</v>
      </c>
      <c r="G58">
        <v>3</v>
      </c>
      <c r="H58">
        <v>4</v>
      </c>
      <c r="I58">
        <v>4</v>
      </c>
      <c r="J58" t="s">
        <v>193</v>
      </c>
    </row>
    <row r="59" spans="1:10" x14ac:dyDescent="0.3">
      <c r="A59" t="s">
        <v>992</v>
      </c>
      <c r="B59" s="5">
        <v>1800000</v>
      </c>
      <c r="C59" t="s">
        <v>1588</v>
      </c>
      <c r="D59" t="s">
        <v>820</v>
      </c>
      <c r="E59" t="s">
        <v>200</v>
      </c>
      <c r="F59" t="s">
        <v>993</v>
      </c>
      <c r="G59">
        <v>1</v>
      </c>
      <c r="H59">
        <v>1</v>
      </c>
      <c r="I59">
        <v>1</v>
      </c>
      <c r="J59" t="s">
        <v>19</v>
      </c>
    </row>
    <row r="60" spans="1:10" x14ac:dyDescent="0.3">
      <c r="A60" t="s">
        <v>996</v>
      </c>
      <c r="B60" s="5">
        <v>1800000</v>
      </c>
      <c r="C60" t="s">
        <v>1588</v>
      </c>
      <c r="D60" t="s">
        <v>820</v>
      </c>
      <c r="E60" t="s">
        <v>200</v>
      </c>
      <c r="F60" t="s">
        <v>997</v>
      </c>
      <c r="G60">
        <v>1</v>
      </c>
      <c r="H60">
        <v>2</v>
      </c>
      <c r="I60">
        <v>2</v>
      </c>
      <c r="J60" t="s">
        <v>91</v>
      </c>
    </row>
    <row r="61" spans="1:10" x14ac:dyDescent="0.3">
      <c r="A61" t="s">
        <v>366</v>
      </c>
      <c r="B61" s="5">
        <v>7000000</v>
      </c>
      <c r="C61" t="s">
        <v>1587</v>
      </c>
      <c r="D61" t="s">
        <v>820</v>
      </c>
      <c r="E61" t="s">
        <v>200</v>
      </c>
      <c r="F61" t="s">
        <v>1000</v>
      </c>
      <c r="G61">
        <v>4</v>
      </c>
      <c r="H61">
        <v>5</v>
      </c>
      <c r="I61">
        <v>5</v>
      </c>
      <c r="J61" t="s">
        <v>29</v>
      </c>
    </row>
    <row r="62" spans="1:10" x14ac:dyDescent="0.3">
      <c r="A62" t="s">
        <v>470</v>
      </c>
      <c r="B62" s="5">
        <v>4000000</v>
      </c>
      <c r="C62" t="s">
        <v>1588</v>
      </c>
      <c r="D62" t="s">
        <v>820</v>
      </c>
      <c r="E62" t="s">
        <v>200</v>
      </c>
      <c r="F62" t="s">
        <v>1000</v>
      </c>
      <c r="G62">
        <v>3</v>
      </c>
      <c r="H62">
        <v>4</v>
      </c>
      <c r="I62">
        <v>4</v>
      </c>
      <c r="J62" t="s">
        <v>193</v>
      </c>
    </row>
    <row r="63" spans="1:10" x14ac:dyDescent="0.3">
      <c r="A63" t="s">
        <v>1005</v>
      </c>
      <c r="B63" s="5">
        <v>4500000</v>
      </c>
      <c r="C63" t="s">
        <v>1588</v>
      </c>
      <c r="D63" t="s">
        <v>820</v>
      </c>
      <c r="E63" t="s">
        <v>200</v>
      </c>
      <c r="F63" t="s">
        <v>978</v>
      </c>
      <c r="G63">
        <v>2</v>
      </c>
      <c r="H63">
        <v>3</v>
      </c>
      <c r="I63">
        <v>3</v>
      </c>
      <c r="J63" t="s">
        <v>193</v>
      </c>
    </row>
    <row r="64" spans="1:10" x14ac:dyDescent="0.3">
      <c r="A64" t="s">
        <v>1008</v>
      </c>
      <c r="B64" s="5">
        <v>2800000</v>
      </c>
      <c r="C64" t="s">
        <v>1588</v>
      </c>
      <c r="D64" t="s">
        <v>820</v>
      </c>
      <c r="E64" t="s">
        <v>200</v>
      </c>
      <c r="F64" t="s">
        <v>1009</v>
      </c>
      <c r="G64">
        <v>2</v>
      </c>
      <c r="H64">
        <v>3</v>
      </c>
      <c r="I64">
        <v>3</v>
      </c>
      <c r="J64" t="s">
        <v>19</v>
      </c>
    </row>
    <row r="65" spans="1:10" x14ac:dyDescent="0.3">
      <c r="A65" t="s">
        <v>1012</v>
      </c>
      <c r="B65" s="5">
        <v>1800000</v>
      </c>
      <c r="C65" t="s">
        <v>1588</v>
      </c>
      <c r="D65" t="s">
        <v>820</v>
      </c>
      <c r="E65" t="s">
        <v>200</v>
      </c>
      <c r="F65" t="s">
        <v>997</v>
      </c>
      <c r="G65">
        <v>1</v>
      </c>
      <c r="H65">
        <v>2</v>
      </c>
      <c r="I65">
        <v>2</v>
      </c>
      <c r="J65" t="s">
        <v>19</v>
      </c>
    </row>
    <row r="66" spans="1:10" x14ac:dyDescent="0.3">
      <c r="A66" t="s">
        <v>1015</v>
      </c>
      <c r="B66" s="5">
        <v>4000000</v>
      </c>
      <c r="C66" t="s">
        <v>1588</v>
      </c>
      <c r="D66" t="s">
        <v>820</v>
      </c>
      <c r="E66" t="s">
        <v>200</v>
      </c>
      <c r="F66" t="s">
        <v>989</v>
      </c>
      <c r="G66">
        <v>3</v>
      </c>
      <c r="H66">
        <v>4</v>
      </c>
      <c r="I66">
        <v>4</v>
      </c>
      <c r="J66" t="s">
        <v>193</v>
      </c>
    </row>
    <row r="67" spans="1:10" x14ac:dyDescent="0.3">
      <c r="A67" t="s">
        <v>977</v>
      </c>
      <c r="B67" s="5">
        <v>2500000</v>
      </c>
      <c r="C67" t="s">
        <v>1588</v>
      </c>
      <c r="D67" t="s">
        <v>820</v>
      </c>
      <c r="E67" t="s">
        <v>200</v>
      </c>
      <c r="F67" t="s">
        <v>997</v>
      </c>
      <c r="G67">
        <v>2</v>
      </c>
      <c r="H67">
        <v>3</v>
      </c>
      <c r="I67">
        <v>3</v>
      </c>
      <c r="J67" t="s">
        <v>19</v>
      </c>
    </row>
    <row r="68" spans="1:10" x14ac:dyDescent="0.3">
      <c r="A68" t="s">
        <v>1015</v>
      </c>
      <c r="B68" s="5">
        <v>4700000</v>
      </c>
      <c r="C68" t="s">
        <v>1588</v>
      </c>
      <c r="D68" t="s">
        <v>820</v>
      </c>
      <c r="E68" t="s">
        <v>200</v>
      </c>
      <c r="F68" t="s">
        <v>1020</v>
      </c>
      <c r="G68">
        <v>3</v>
      </c>
      <c r="H68">
        <v>3</v>
      </c>
      <c r="I68">
        <v>4</v>
      </c>
      <c r="J68" t="s">
        <v>193</v>
      </c>
    </row>
    <row r="69" spans="1:10" x14ac:dyDescent="0.3">
      <c r="A69" t="s">
        <v>1023</v>
      </c>
      <c r="B69" s="5">
        <v>6000000</v>
      </c>
      <c r="C69" t="s">
        <v>1587</v>
      </c>
      <c r="D69" t="s">
        <v>820</v>
      </c>
      <c r="E69" t="s">
        <v>200</v>
      </c>
      <c r="F69" t="s">
        <v>1024</v>
      </c>
      <c r="G69">
        <v>4</v>
      </c>
      <c r="H69">
        <v>5</v>
      </c>
      <c r="I69">
        <v>5</v>
      </c>
      <c r="J69" t="s">
        <v>38</v>
      </c>
    </row>
    <row r="70" spans="1:10" x14ac:dyDescent="0.3">
      <c r="A70" t="s">
        <v>1027</v>
      </c>
      <c r="B70" s="5">
        <v>7500000</v>
      </c>
      <c r="C70" t="s">
        <v>1587</v>
      </c>
      <c r="D70" t="s">
        <v>820</v>
      </c>
      <c r="E70" t="s">
        <v>200</v>
      </c>
      <c r="F70" t="s">
        <v>228</v>
      </c>
      <c r="G70">
        <v>3</v>
      </c>
      <c r="H70">
        <v>4</v>
      </c>
      <c r="I70">
        <v>4</v>
      </c>
      <c r="J70" t="s">
        <v>70</v>
      </c>
    </row>
    <row r="71" spans="1:10" x14ac:dyDescent="0.3">
      <c r="A71" t="s">
        <v>1030</v>
      </c>
      <c r="B71" s="5">
        <v>2500000</v>
      </c>
      <c r="C71" t="s">
        <v>1588</v>
      </c>
      <c r="D71" t="s">
        <v>820</v>
      </c>
      <c r="E71" t="s">
        <v>200</v>
      </c>
      <c r="F71" t="s">
        <v>1031</v>
      </c>
      <c r="G71">
        <v>2</v>
      </c>
      <c r="H71">
        <v>3</v>
      </c>
      <c r="I71">
        <v>3</v>
      </c>
      <c r="J71" t="s">
        <v>193</v>
      </c>
    </row>
    <row r="72" spans="1:10" x14ac:dyDescent="0.3">
      <c r="A72" t="s">
        <v>1034</v>
      </c>
      <c r="B72" s="5">
        <v>13000000</v>
      </c>
      <c r="C72" t="s">
        <v>1587</v>
      </c>
      <c r="D72" t="s">
        <v>820</v>
      </c>
      <c r="E72" t="s">
        <v>236</v>
      </c>
      <c r="F72" t="s">
        <v>237</v>
      </c>
      <c r="G72">
        <v>3</v>
      </c>
      <c r="H72">
        <v>3</v>
      </c>
      <c r="I72">
        <v>4</v>
      </c>
      <c r="J72" t="s">
        <v>29</v>
      </c>
    </row>
    <row r="73" spans="1:10" x14ac:dyDescent="0.3">
      <c r="A73" t="s">
        <v>227</v>
      </c>
      <c r="B73" s="5">
        <v>6500000</v>
      </c>
      <c r="C73" t="s">
        <v>1587</v>
      </c>
      <c r="D73" t="s">
        <v>820</v>
      </c>
      <c r="E73" t="s">
        <v>236</v>
      </c>
      <c r="F73" t="s">
        <v>1037</v>
      </c>
      <c r="G73">
        <v>2</v>
      </c>
      <c r="H73">
        <v>3</v>
      </c>
      <c r="I73">
        <v>3</v>
      </c>
      <c r="J73" t="s">
        <v>19</v>
      </c>
    </row>
    <row r="74" spans="1:10" x14ac:dyDescent="0.3">
      <c r="A74" t="s">
        <v>1040</v>
      </c>
      <c r="B74" s="5">
        <v>15000000</v>
      </c>
      <c r="C74" t="s">
        <v>1586</v>
      </c>
      <c r="D74" t="s">
        <v>820</v>
      </c>
      <c r="E74" t="s">
        <v>236</v>
      </c>
      <c r="F74" t="s">
        <v>1041</v>
      </c>
      <c r="G74">
        <v>3</v>
      </c>
      <c r="H74">
        <v>4</v>
      </c>
      <c r="I74">
        <v>4</v>
      </c>
      <c r="J74" t="s">
        <v>29</v>
      </c>
    </row>
    <row r="75" spans="1:10" x14ac:dyDescent="0.3">
      <c r="A75" t="s">
        <v>903</v>
      </c>
      <c r="B75" s="5">
        <v>7000000</v>
      </c>
      <c r="C75" t="s">
        <v>1587</v>
      </c>
      <c r="D75" t="s">
        <v>820</v>
      </c>
      <c r="E75" t="s">
        <v>236</v>
      </c>
      <c r="F75" t="s">
        <v>1041</v>
      </c>
      <c r="G75">
        <v>3</v>
      </c>
      <c r="H75">
        <v>3</v>
      </c>
      <c r="I75">
        <v>3</v>
      </c>
      <c r="J75" t="s">
        <v>19</v>
      </c>
    </row>
    <row r="76" spans="1:10" x14ac:dyDescent="0.3">
      <c r="A76" t="s">
        <v>1046</v>
      </c>
      <c r="B76" s="5">
        <v>35000000</v>
      </c>
      <c r="C76" t="s">
        <v>1586</v>
      </c>
      <c r="D76" t="s">
        <v>820</v>
      </c>
      <c r="E76" t="s">
        <v>236</v>
      </c>
      <c r="F76" t="s">
        <v>1047</v>
      </c>
      <c r="G76">
        <v>4</v>
      </c>
      <c r="H76">
        <v>5</v>
      </c>
      <c r="I76">
        <v>5</v>
      </c>
      <c r="J76" t="s">
        <v>38</v>
      </c>
    </row>
    <row r="77" spans="1:10" x14ac:dyDescent="0.3">
      <c r="A77" t="s">
        <v>227</v>
      </c>
      <c r="B77" s="5">
        <v>9000000</v>
      </c>
      <c r="C77" t="s">
        <v>1587</v>
      </c>
      <c r="D77" t="s">
        <v>820</v>
      </c>
      <c r="E77" t="s">
        <v>236</v>
      </c>
      <c r="F77" t="s">
        <v>1050</v>
      </c>
      <c r="G77">
        <v>2</v>
      </c>
      <c r="H77">
        <v>2</v>
      </c>
      <c r="I77">
        <v>3</v>
      </c>
      <c r="J77" t="s">
        <v>19</v>
      </c>
    </row>
    <row r="78" spans="1:10" x14ac:dyDescent="0.3">
      <c r="A78" t="s">
        <v>99</v>
      </c>
      <c r="B78" s="5">
        <v>4000000</v>
      </c>
      <c r="C78" t="s">
        <v>1588</v>
      </c>
      <c r="D78" t="s">
        <v>820</v>
      </c>
      <c r="E78" t="s">
        <v>236</v>
      </c>
      <c r="F78" t="s">
        <v>1050</v>
      </c>
      <c r="G78">
        <v>4</v>
      </c>
      <c r="H78">
        <v>4</v>
      </c>
      <c r="I78">
        <v>5</v>
      </c>
      <c r="J78" t="s">
        <v>38</v>
      </c>
    </row>
    <row r="79" spans="1:10" x14ac:dyDescent="0.3">
      <c r="A79" t="s">
        <v>1055</v>
      </c>
      <c r="B79" s="5">
        <v>20000000</v>
      </c>
      <c r="C79" t="s">
        <v>1586</v>
      </c>
      <c r="D79" t="s">
        <v>820</v>
      </c>
      <c r="E79" t="s">
        <v>236</v>
      </c>
      <c r="F79" t="s">
        <v>1056</v>
      </c>
      <c r="G79">
        <v>5</v>
      </c>
      <c r="H79">
        <v>5</v>
      </c>
      <c r="I79">
        <v>5</v>
      </c>
      <c r="J79" t="s">
        <v>70</v>
      </c>
    </row>
    <row r="80" spans="1:10" x14ac:dyDescent="0.3">
      <c r="A80" t="s">
        <v>497</v>
      </c>
      <c r="B80" s="5">
        <v>15000000</v>
      </c>
      <c r="C80" t="s">
        <v>1586</v>
      </c>
      <c r="D80" t="s">
        <v>820</v>
      </c>
      <c r="E80" t="s">
        <v>236</v>
      </c>
      <c r="F80" t="s">
        <v>1056</v>
      </c>
      <c r="G80">
        <v>4</v>
      </c>
      <c r="H80">
        <v>4</v>
      </c>
      <c r="I80">
        <v>5</v>
      </c>
      <c r="J80" t="s">
        <v>70</v>
      </c>
    </row>
    <row r="81" spans="1:10" x14ac:dyDescent="0.3">
      <c r="A81" t="s">
        <v>227</v>
      </c>
      <c r="B81" s="5">
        <v>4000000</v>
      </c>
      <c r="C81" t="s">
        <v>1588</v>
      </c>
      <c r="D81" t="s">
        <v>820</v>
      </c>
      <c r="E81" t="s">
        <v>236</v>
      </c>
      <c r="F81" t="s">
        <v>1061</v>
      </c>
      <c r="G81">
        <v>2</v>
      </c>
      <c r="H81">
        <v>2</v>
      </c>
      <c r="I81">
        <v>3</v>
      </c>
      <c r="J81" t="s">
        <v>19</v>
      </c>
    </row>
    <row r="82" spans="1:10" x14ac:dyDescent="0.3">
      <c r="A82" t="s">
        <v>227</v>
      </c>
      <c r="B82" s="5">
        <v>4000000</v>
      </c>
      <c r="C82" t="s">
        <v>1588</v>
      </c>
      <c r="D82" t="s">
        <v>820</v>
      </c>
      <c r="E82" t="s">
        <v>236</v>
      </c>
      <c r="F82" t="s">
        <v>1064</v>
      </c>
      <c r="G82">
        <v>2</v>
      </c>
      <c r="H82">
        <v>2</v>
      </c>
      <c r="I82">
        <v>3</v>
      </c>
      <c r="J82" t="s">
        <v>19</v>
      </c>
    </row>
    <row r="83" spans="1:10" x14ac:dyDescent="0.3">
      <c r="A83" t="s">
        <v>1067</v>
      </c>
      <c r="B83" s="5">
        <v>25000000</v>
      </c>
      <c r="C83" t="s">
        <v>1586</v>
      </c>
      <c r="D83" t="s">
        <v>820</v>
      </c>
      <c r="E83" t="s">
        <v>236</v>
      </c>
      <c r="F83" t="s">
        <v>237</v>
      </c>
      <c r="G83">
        <v>4</v>
      </c>
      <c r="H83">
        <v>4</v>
      </c>
      <c r="I83">
        <v>5</v>
      </c>
      <c r="J83" t="s">
        <v>70</v>
      </c>
    </row>
    <row r="84" spans="1:10" x14ac:dyDescent="0.3">
      <c r="A84" t="s">
        <v>1070</v>
      </c>
      <c r="B84" s="5">
        <v>2500000</v>
      </c>
      <c r="C84" t="s">
        <v>1588</v>
      </c>
      <c r="D84" t="s">
        <v>820</v>
      </c>
      <c r="E84" t="s">
        <v>284</v>
      </c>
      <c r="F84" t="s">
        <v>1071</v>
      </c>
      <c r="G84">
        <v>1</v>
      </c>
      <c r="H84">
        <v>1</v>
      </c>
      <c r="I84">
        <v>1</v>
      </c>
      <c r="J84" t="s">
        <v>19</v>
      </c>
    </row>
    <row r="85" spans="1:10" x14ac:dyDescent="0.3">
      <c r="A85" t="s">
        <v>1074</v>
      </c>
      <c r="B85" s="5">
        <v>20000000</v>
      </c>
      <c r="C85" t="s">
        <v>1586</v>
      </c>
      <c r="D85" t="s">
        <v>820</v>
      </c>
      <c r="E85" t="s">
        <v>284</v>
      </c>
      <c r="F85" t="s">
        <v>293</v>
      </c>
      <c r="G85">
        <v>4</v>
      </c>
      <c r="H85">
        <v>4</v>
      </c>
      <c r="I85">
        <v>5</v>
      </c>
      <c r="J85" t="s">
        <v>29</v>
      </c>
    </row>
    <row r="86" spans="1:10" x14ac:dyDescent="0.3">
      <c r="A86" t="s">
        <v>859</v>
      </c>
      <c r="B86" s="5">
        <v>30000000</v>
      </c>
      <c r="C86" t="s">
        <v>1586</v>
      </c>
      <c r="D86" t="s">
        <v>820</v>
      </c>
      <c r="E86" t="s">
        <v>284</v>
      </c>
      <c r="F86" t="s">
        <v>1077</v>
      </c>
      <c r="G86">
        <v>6</v>
      </c>
      <c r="H86">
        <v>6</v>
      </c>
      <c r="I86">
        <v>7</v>
      </c>
      <c r="J86" t="s">
        <v>38</v>
      </c>
    </row>
    <row r="87" spans="1:10" x14ac:dyDescent="0.3">
      <c r="A87" t="s">
        <v>1080</v>
      </c>
      <c r="B87" s="5">
        <v>7000000</v>
      </c>
      <c r="C87" t="s">
        <v>1587</v>
      </c>
      <c r="D87" t="s">
        <v>820</v>
      </c>
      <c r="E87" t="s">
        <v>284</v>
      </c>
      <c r="F87" t="s">
        <v>1081</v>
      </c>
      <c r="G87">
        <v>2</v>
      </c>
      <c r="H87">
        <v>2</v>
      </c>
      <c r="I87">
        <v>3</v>
      </c>
      <c r="J87" t="s">
        <v>19</v>
      </c>
    </row>
    <row r="88" spans="1:10" x14ac:dyDescent="0.3">
      <c r="A88" t="s">
        <v>1084</v>
      </c>
      <c r="B88" s="5">
        <v>16000000</v>
      </c>
      <c r="C88" t="s">
        <v>1586</v>
      </c>
      <c r="D88" t="s">
        <v>820</v>
      </c>
      <c r="E88" t="s">
        <v>284</v>
      </c>
      <c r="F88" t="s">
        <v>1085</v>
      </c>
      <c r="G88">
        <v>4</v>
      </c>
      <c r="H88">
        <v>4</v>
      </c>
      <c r="I88">
        <v>5</v>
      </c>
      <c r="J88" t="s">
        <v>29</v>
      </c>
    </row>
    <row r="89" spans="1:10" x14ac:dyDescent="0.3">
      <c r="A89" t="s">
        <v>1088</v>
      </c>
      <c r="B89" s="5">
        <v>30000000</v>
      </c>
      <c r="C89" t="s">
        <v>1586</v>
      </c>
      <c r="D89" t="s">
        <v>820</v>
      </c>
      <c r="E89" t="s">
        <v>284</v>
      </c>
      <c r="F89" t="s">
        <v>1089</v>
      </c>
      <c r="G89">
        <v>4</v>
      </c>
      <c r="H89">
        <v>4</v>
      </c>
      <c r="I89">
        <v>5</v>
      </c>
      <c r="J89" t="s">
        <v>70</v>
      </c>
    </row>
    <row r="90" spans="1:10" x14ac:dyDescent="0.3">
      <c r="A90" t="s">
        <v>1092</v>
      </c>
      <c r="B90" s="5">
        <v>23000000</v>
      </c>
      <c r="C90" t="s">
        <v>1586</v>
      </c>
      <c r="D90" t="s">
        <v>820</v>
      </c>
      <c r="E90" t="s">
        <v>284</v>
      </c>
      <c r="F90" t="s">
        <v>1085</v>
      </c>
      <c r="G90">
        <v>4</v>
      </c>
      <c r="H90">
        <v>4</v>
      </c>
      <c r="I90">
        <v>5</v>
      </c>
      <c r="J90" t="s">
        <v>29</v>
      </c>
    </row>
    <row r="91" spans="1:10" x14ac:dyDescent="0.3">
      <c r="A91" t="s">
        <v>1095</v>
      </c>
      <c r="B91" s="5">
        <v>30000000</v>
      </c>
      <c r="C91" t="s">
        <v>1586</v>
      </c>
      <c r="D91" t="s">
        <v>820</v>
      </c>
      <c r="E91" t="s">
        <v>284</v>
      </c>
      <c r="F91" t="s">
        <v>1089</v>
      </c>
      <c r="G91">
        <v>6</v>
      </c>
      <c r="H91">
        <v>6</v>
      </c>
      <c r="I91">
        <v>7</v>
      </c>
      <c r="J91" t="s">
        <v>29</v>
      </c>
    </row>
    <row r="92" spans="1:10" x14ac:dyDescent="0.3">
      <c r="A92" t="s">
        <v>15</v>
      </c>
      <c r="B92" s="5">
        <v>12000000</v>
      </c>
      <c r="C92" t="s">
        <v>1587</v>
      </c>
      <c r="D92" t="s">
        <v>820</v>
      </c>
      <c r="E92" t="s">
        <v>284</v>
      </c>
      <c r="F92" t="s">
        <v>1098</v>
      </c>
      <c r="G92">
        <v>3</v>
      </c>
      <c r="H92">
        <v>4</v>
      </c>
      <c r="I92">
        <v>4</v>
      </c>
      <c r="J92" t="s">
        <v>19</v>
      </c>
    </row>
    <row r="93" spans="1:10" x14ac:dyDescent="0.3">
      <c r="A93" t="s">
        <v>1101</v>
      </c>
      <c r="B93" s="5">
        <v>23000000</v>
      </c>
      <c r="C93" t="s">
        <v>1586</v>
      </c>
      <c r="D93" t="s">
        <v>820</v>
      </c>
      <c r="E93" t="s">
        <v>284</v>
      </c>
      <c r="F93" t="s">
        <v>1098</v>
      </c>
      <c r="G93">
        <v>2</v>
      </c>
      <c r="H93">
        <v>2</v>
      </c>
      <c r="I93">
        <v>3</v>
      </c>
      <c r="J93" t="s">
        <v>19</v>
      </c>
    </row>
    <row r="94" spans="1:10" x14ac:dyDescent="0.3">
      <c r="A94" t="s">
        <v>1104</v>
      </c>
      <c r="B94" s="5">
        <v>16000000</v>
      </c>
      <c r="C94" t="s">
        <v>1586</v>
      </c>
      <c r="D94" t="s">
        <v>820</v>
      </c>
      <c r="E94" t="s">
        <v>284</v>
      </c>
      <c r="F94" t="s">
        <v>1105</v>
      </c>
      <c r="G94">
        <v>4</v>
      </c>
      <c r="H94">
        <v>6</v>
      </c>
      <c r="I94">
        <v>6</v>
      </c>
      <c r="J94" t="s">
        <v>29</v>
      </c>
    </row>
    <row r="95" spans="1:10" x14ac:dyDescent="0.3">
      <c r="A95" t="s">
        <v>1108</v>
      </c>
      <c r="B95" s="5">
        <v>50000000</v>
      </c>
      <c r="C95" t="s">
        <v>1585</v>
      </c>
      <c r="D95" t="s">
        <v>820</v>
      </c>
      <c r="E95" t="s">
        <v>284</v>
      </c>
      <c r="F95" t="s">
        <v>289</v>
      </c>
      <c r="G95">
        <v>7</v>
      </c>
      <c r="H95">
        <v>7</v>
      </c>
      <c r="I95">
        <v>7</v>
      </c>
      <c r="J95" t="s">
        <v>38</v>
      </c>
    </row>
    <row r="96" spans="1:10" x14ac:dyDescent="0.3">
      <c r="A96" t="s">
        <v>1111</v>
      </c>
      <c r="B96" s="5">
        <v>30000000</v>
      </c>
      <c r="C96" t="s">
        <v>1586</v>
      </c>
      <c r="D96" t="s">
        <v>820</v>
      </c>
      <c r="E96" t="s">
        <v>284</v>
      </c>
      <c r="F96" t="s">
        <v>289</v>
      </c>
      <c r="G96">
        <v>5</v>
      </c>
      <c r="H96">
        <v>5</v>
      </c>
      <c r="I96">
        <v>6</v>
      </c>
      <c r="J96" t="s">
        <v>70</v>
      </c>
    </row>
    <row r="97" spans="1:10" x14ac:dyDescent="0.3">
      <c r="A97" t="s">
        <v>138</v>
      </c>
      <c r="B97" s="5">
        <v>3500000</v>
      </c>
      <c r="C97" t="s">
        <v>1588</v>
      </c>
      <c r="D97" t="s">
        <v>820</v>
      </c>
      <c r="E97" t="s">
        <v>284</v>
      </c>
      <c r="F97" t="s">
        <v>1114</v>
      </c>
      <c r="G97">
        <v>2</v>
      </c>
      <c r="H97">
        <v>2</v>
      </c>
      <c r="I97">
        <v>3</v>
      </c>
      <c r="J97" t="s">
        <v>19</v>
      </c>
    </row>
    <row r="98" spans="1:10" x14ac:dyDescent="0.3">
      <c r="A98" t="s">
        <v>1117</v>
      </c>
      <c r="B98" s="5">
        <v>30000000</v>
      </c>
      <c r="C98" t="s">
        <v>1586</v>
      </c>
      <c r="D98" t="s">
        <v>820</v>
      </c>
      <c r="E98" t="s">
        <v>284</v>
      </c>
      <c r="F98" t="s">
        <v>1118</v>
      </c>
      <c r="G98">
        <v>6</v>
      </c>
      <c r="H98">
        <v>6</v>
      </c>
      <c r="I98">
        <v>7</v>
      </c>
      <c r="J98" t="s">
        <v>38</v>
      </c>
    </row>
    <row r="99" spans="1:10" x14ac:dyDescent="0.3">
      <c r="A99" t="s">
        <v>138</v>
      </c>
      <c r="B99" s="5">
        <v>3500000</v>
      </c>
      <c r="C99" t="s">
        <v>1588</v>
      </c>
      <c r="D99" t="s">
        <v>820</v>
      </c>
      <c r="E99" t="s">
        <v>284</v>
      </c>
      <c r="F99" t="s">
        <v>1114</v>
      </c>
      <c r="G99">
        <v>2</v>
      </c>
      <c r="H99">
        <v>2</v>
      </c>
      <c r="I99">
        <v>3</v>
      </c>
      <c r="J99" t="s">
        <v>19</v>
      </c>
    </row>
    <row r="100" spans="1:10" x14ac:dyDescent="0.3">
      <c r="A100" t="s">
        <v>1123</v>
      </c>
      <c r="B100" s="5">
        <v>30000000</v>
      </c>
      <c r="C100" t="s">
        <v>1586</v>
      </c>
      <c r="D100" t="s">
        <v>820</v>
      </c>
      <c r="E100" t="s">
        <v>284</v>
      </c>
      <c r="F100" t="s">
        <v>289</v>
      </c>
      <c r="G100">
        <v>5</v>
      </c>
      <c r="H100">
        <v>6</v>
      </c>
      <c r="I100">
        <v>6</v>
      </c>
      <c r="J100" t="s">
        <v>70</v>
      </c>
    </row>
    <row r="101" spans="1:10" x14ac:dyDescent="0.3">
      <c r="A101" t="s">
        <v>1126</v>
      </c>
      <c r="B101" s="5">
        <v>17000000</v>
      </c>
      <c r="C101" t="s">
        <v>1586</v>
      </c>
      <c r="D101" t="s">
        <v>820</v>
      </c>
      <c r="E101" t="s">
        <v>284</v>
      </c>
      <c r="F101" t="s">
        <v>289</v>
      </c>
      <c r="G101">
        <v>5</v>
      </c>
      <c r="H101">
        <v>6</v>
      </c>
      <c r="I101">
        <v>6</v>
      </c>
      <c r="J101" t="s">
        <v>29</v>
      </c>
    </row>
    <row r="102" spans="1:10" x14ac:dyDescent="0.3">
      <c r="A102" t="s">
        <v>1129</v>
      </c>
      <c r="B102" s="5">
        <v>3600000</v>
      </c>
      <c r="C102" t="s">
        <v>1588</v>
      </c>
      <c r="D102" t="s">
        <v>820</v>
      </c>
      <c r="E102" t="s">
        <v>325</v>
      </c>
      <c r="F102" t="s">
        <v>1131</v>
      </c>
      <c r="G102">
        <v>1</v>
      </c>
      <c r="H102">
        <v>1</v>
      </c>
      <c r="I102">
        <v>1</v>
      </c>
      <c r="J102" t="s">
        <v>19</v>
      </c>
    </row>
    <row r="103" spans="1:10" x14ac:dyDescent="0.3">
      <c r="A103" t="s">
        <v>183</v>
      </c>
      <c r="B103" s="5">
        <v>10000000</v>
      </c>
      <c r="C103" t="s">
        <v>1587</v>
      </c>
      <c r="D103" t="s">
        <v>820</v>
      </c>
      <c r="E103" t="s">
        <v>325</v>
      </c>
      <c r="F103" t="s">
        <v>1134</v>
      </c>
      <c r="G103">
        <v>4</v>
      </c>
      <c r="H103">
        <v>4</v>
      </c>
      <c r="I103">
        <v>5</v>
      </c>
      <c r="J103" t="s">
        <v>29</v>
      </c>
    </row>
    <row r="104" spans="1:10" x14ac:dyDescent="0.3">
      <c r="A104" t="s">
        <v>77</v>
      </c>
      <c r="B104" s="5">
        <v>13000000</v>
      </c>
      <c r="C104" t="s">
        <v>1587</v>
      </c>
      <c r="D104" t="s">
        <v>820</v>
      </c>
      <c r="E104" t="s">
        <v>325</v>
      </c>
      <c r="F104" t="s">
        <v>326</v>
      </c>
      <c r="G104">
        <v>4</v>
      </c>
      <c r="H104">
        <v>4</v>
      </c>
      <c r="I104">
        <v>5</v>
      </c>
      <c r="J104" t="s">
        <v>29</v>
      </c>
    </row>
    <row r="105" spans="1:10" x14ac:dyDescent="0.3">
      <c r="A105" t="s">
        <v>1139</v>
      </c>
      <c r="B105" s="5">
        <v>7500000</v>
      </c>
      <c r="C105" t="s">
        <v>1587</v>
      </c>
      <c r="D105" t="s">
        <v>820</v>
      </c>
      <c r="E105" t="s">
        <v>325</v>
      </c>
      <c r="F105" t="s">
        <v>326</v>
      </c>
      <c r="G105">
        <v>4</v>
      </c>
      <c r="H105">
        <v>4</v>
      </c>
      <c r="I105">
        <v>5</v>
      </c>
      <c r="J105" t="s">
        <v>29</v>
      </c>
    </row>
    <row r="106" spans="1:10" x14ac:dyDescent="0.3">
      <c r="A106" t="s">
        <v>497</v>
      </c>
      <c r="B106" s="5">
        <v>14000000</v>
      </c>
      <c r="C106" t="s">
        <v>1587</v>
      </c>
      <c r="D106" t="s">
        <v>820</v>
      </c>
      <c r="E106" t="s">
        <v>325</v>
      </c>
      <c r="F106" t="s">
        <v>326</v>
      </c>
      <c r="G106">
        <v>4</v>
      </c>
      <c r="H106">
        <v>4</v>
      </c>
      <c r="I106">
        <v>5</v>
      </c>
      <c r="J106" t="s">
        <v>70</v>
      </c>
    </row>
    <row r="107" spans="1:10" x14ac:dyDescent="0.3">
      <c r="A107" t="s">
        <v>133</v>
      </c>
      <c r="B107" s="5">
        <v>10000000</v>
      </c>
      <c r="C107" t="s">
        <v>1587</v>
      </c>
      <c r="D107" t="s">
        <v>820</v>
      </c>
      <c r="E107" t="s">
        <v>325</v>
      </c>
      <c r="F107" t="s">
        <v>330</v>
      </c>
      <c r="G107">
        <v>4</v>
      </c>
      <c r="H107">
        <v>4</v>
      </c>
      <c r="I107">
        <v>5</v>
      </c>
      <c r="J107" t="s">
        <v>29</v>
      </c>
    </row>
    <row r="108" spans="1:10" x14ac:dyDescent="0.3">
      <c r="A108" t="s">
        <v>1146</v>
      </c>
      <c r="B108" s="5">
        <v>9000000</v>
      </c>
      <c r="C108" t="s">
        <v>1587</v>
      </c>
      <c r="D108" t="s">
        <v>820</v>
      </c>
      <c r="E108" t="s">
        <v>325</v>
      </c>
      <c r="F108" t="s">
        <v>326</v>
      </c>
      <c r="G108">
        <v>4</v>
      </c>
      <c r="H108">
        <v>4</v>
      </c>
      <c r="I108">
        <v>5</v>
      </c>
      <c r="J108" t="s">
        <v>29</v>
      </c>
    </row>
    <row r="109" spans="1:10" x14ac:dyDescent="0.3">
      <c r="A109" t="s">
        <v>366</v>
      </c>
      <c r="B109" s="5">
        <v>9500000</v>
      </c>
      <c r="C109" t="s">
        <v>1587</v>
      </c>
      <c r="D109" t="s">
        <v>820</v>
      </c>
      <c r="E109" t="s">
        <v>325</v>
      </c>
      <c r="F109" t="s">
        <v>330</v>
      </c>
      <c r="G109">
        <v>4</v>
      </c>
      <c r="H109">
        <v>4</v>
      </c>
      <c r="I109">
        <v>5</v>
      </c>
      <c r="J109" t="s">
        <v>29</v>
      </c>
    </row>
    <row r="110" spans="1:10" x14ac:dyDescent="0.3">
      <c r="A110" t="s">
        <v>340</v>
      </c>
      <c r="B110" s="5">
        <v>25000000</v>
      </c>
      <c r="C110" t="s">
        <v>1586</v>
      </c>
      <c r="D110" t="s">
        <v>820</v>
      </c>
      <c r="E110" t="s">
        <v>325</v>
      </c>
      <c r="F110" t="s">
        <v>326</v>
      </c>
      <c r="G110">
        <v>5</v>
      </c>
      <c r="H110">
        <v>5</v>
      </c>
      <c r="I110">
        <v>6</v>
      </c>
      <c r="J110" t="s">
        <v>38</v>
      </c>
    </row>
    <row r="111" spans="1:10" x14ac:dyDescent="0.3">
      <c r="A111" t="s">
        <v>77</v>
      </c>
      <c r="B111" s="5">
        <v>8000000</v>
      </c>
      <c r="C111" t="s">
        <v>1587</v>
      </c>
      <c r="D111" t="s">
        <v>820</v>
      </c>
      <c r="E111" t="s">
        <v>325</v>
      </c>
      <c r="F111" t="s">
        <v>1153</v>
      </c>
      <c r="G111">
        <v>4</v>
      </c>
      <c r="H111">
        <v>4</v>
      </c>
      <c r="I111">
        <v>5</v>
      </c>
      <c r="J111" t="s">
        <v>29</v>
      </c>
    </row>
    <row r="112" spans="1:10" x14ac:dyDescent="0.3">
      <c r="A112" t="s">
        <v>1156</v>
      </c>
      <c r="B112" s="5">
        <v>8000000</v>
      </c>
      <c r="C112" t="s">
        <v>1587</v>
      </c>
      <c r="D112" t="s">
        <v>820</v>
      </c>
      <c r="E112" t="s">
        <v>325</v>
      </c>
      <c r="F112" t="s">
        <v>1157</v>
      </c>
      <c r="G112">
        <v>4</v>
      </c>
      <c r="H112">
        <v>4</v>
      </c>
      <c r="I112">
        <v>5</v>
      </c>
      <c r="J112" t="s">
        <v>38</v>
      </c>
    </row>
    <row r="113" spans="1:10" x14ac:dyDescent="0.3">
      <c r="A113" t="s">
        <v>1160</v>
      </c>
      <c r="B113" s="5">
        <v>8500000</v>
      </c>
      <c r="C113" t="s">
        <v>1587</v>
      </c>
      <c r="D113" t="s">
        <v>820</v>
      </c>
      <c r="E113" t="s">
        <v>325</v>
      </c>
      <c r="F113" t="s">
        <v>1161</v>
      </c>
      <c r="G113">
        <v>2</v>
      </c>
      <c r="H113">
        <v>2</v>
      </c>
      <c r="I113">
        <v>2</v>
      </c>
      <c r="J113" t="s">
        <v>19</v>
      </c>
    </row>
    <row r="114" spans="1:10" x14ac:dyDescent="0.3">
      <c r="A114" t="s">
        <v>1164</v>
      </c>
      <c r="B114" s="5">
        <v>4500000</v>
      </c>
      <c r="C114" t="s">
        <v>1588</v>
      </c>
      <c r="D114" t="s">
        <v>820</v>
      </c>
      <c r="E114" t="s">
        <v>325</v>
      </c>
      <c r="F114" t="s">
        <v>1165</v>
      </c>
      <c r="G114">
        <v>2</v>
      </c>
      <c r="H114">
        <v>2</v>
      </c>
      <c r="I114">
        <v>3</v>
      </c>
      <c r="J114" t="s">
        <v>19</v>
      </c>
    </row>
    <row r="115" spans="1:10" x14ac:dyDescent="0.3">
      <c r="A115" t="s">
        <v>1168</v>
      </c>
      <c r="B115" s="5">
        <v>6000000</v>
      </c>
      <c r="C115" t="s">
        <v>1587</v>
      </c>
      <c r="D115" t="s">
        <v>820</v>
      </c>
      <c r="E115" t="s">
        <v>325</v>
      </c>
      <c r="F115" t="s">
        <v>1169</v>
      </c>
      <c r="G115">
        <v>3</v>
      </c>
      <c r="H115">
        <v>3</v>
      </c>
      <c r="I115">
        <v>4</v>
      </c>
      <c r="J115" t="s">
        <v>19</v>
      </c>
    </row>
    <row r="116" spans="1:10" x14ac:dyDescent="0.3">
      <c r="A116" t="s">
        <v>1172</v>
      </c>
      <c r="B116" s="5">
        <v>11000000</v>
      </c>
      <c r="C116" t="s">
        <v>1587</v>
      </c>
      <c r="D116" t="s">
        <v>820</v>
      </c>
      <c r="E116" t="s">
        <v>325</v>
      </c>
      <c r="F116" t="s">
        <v>1165</v>
      </c>
      <c r="G116">
        <v>4</v>
      </c>
      <c r="H116">
        <v>4</v>
      </c>
      <c r="I116">
        <v>5</v>
      </c>
      <c r="J116" t="s">
        <v>29</v>
      </c>
    </row>
    <row r="117" spans="1:10" x14ac:dyDescent="0.3">
      <c r="A117" t="s">
        <v>1175</v>
      </c>
      <c r="B117" s="5">
        <v>7500000</v>
      </c>
      <c r="C117" t="s">
        <v>1587</v>
      </c>
      <c r="D117" t="s">
        <v>820</v>
      </c>
      <c r="E117" t="s">
        <v>325</v>
      </c>
      <c r="F117" t="s">
        <v>1176</v>
      </c>
      <c r="G117">
        <v>4</v>
      </c>
      <c r="H117">
        <v>4</v>
      </c>
      <c r="I117">
        <v>5</v>
      </c>
      <c r="J117" t="s">
        <v>29</v>
      </c>
    </row>
    <row r="118" spans="1:10" x14ac:dyDescent="0.3">
      <c r="A118" t="s">
        <v>1179</v>
      </c>
      <c r="B118" s="5">
        <v>25000000</v>
      </c>
      <c r="C118" t="s">
        <v>1586</v>
      </c>
      <c r="D118" t="s">
        <v>820</v>
      </c>
      <c r="E118" t="s">
        <v>325</v>
      </c>
      <c r="F118" t="s">
        <v>1165</v>
      </c>
      <c r="G118">
        <v>4</v>
      </c>
      <c r="H118">
        <v>4</v>
      </c>
      <c r="I118">
        <v>5</v>
      </c>
      <c r="J118" t="s">
        <v>70</v>
      </c>
    </row>
    <row r="119" spans="1:10" x14ac:dyDescent="0.3">
      <c r="A119" t="s">
        <v>73</v>
      </c>
      <c r="B119" s="5">
        <v>11000000</v>
      </c>
      <c r="C119" t="s">
        <v>1587</v>
      </c>
      <c r="D119" t="s">
        <v>820</v>
      </c>
      <c r="E119" t="s">
        <v>389</v>
      </c>
      <c r="F119" t="s">
        <v>1182</v>
      </c>
      <c r="G119">
        <v>4</v>
      </c>
      <c r="H119">
        <v>4</v>
      </c>
      <c r="I119">
        <v>5</v>
      </c>
      <c r="J119" t="s">
        <v>38</v>
      </c>
    </row>
    <row r="120" spans="1:10" x14ac:dyDescent="0.3">
      <c r="A120" t="s">
        <v>373</v>
      </c>
      <c r="B120" s="5">
        <v>10000000</v>
      </c>
      <c r="C120" t="s">
        <v>1587</v>
      </c>
      <c r="D120" t="s">
        <v>820</v>
      </c>
      <c r="E120" t="s">
        <v>389</v>
      </c>
      <c r="F120" t="s">
        <v>1185</v>
      </c>
      <c r="G120">
        <v>3</v>
      </c>
      <c r="H120">
        <v>3</v>
      </c>
      <c r="I120">
        <v>4</v>
      </c>
      <c r="J120" t="s">
        <v>19</v>
      </c>
    </row>
    <row r="121" spans="1:10" x14ac:dyDescent="0.3">
      <c r="A121" t="s">
        <v>227</v>
      </c>
      <c r="B121" s="5">
        <v>5000000</v>
      </c>
      <c r="C121" t="s">
        <v>1587</v>
      </c>
      <c r="D121" t="s">
        <v>820</v>
      </c>
      <c r="E121" t="s">
        <v>389</v>
      </c>
      <c r="F121" t="s">
        <v>1188</v>
      </c>
      <c r="G121">
        <v>2</v>
      </c>
      <c r="H121">
        <v>2</v>
      </c>
      <c r="I121">
        <v>2</v>
      </c>
      <c r="J121" t="s">
        <v>19</v>
      </c>
    </row>
    <row r="122" spans="1:10" x14ac:dyDescent="0.3">
      <c r="A122" t="s">
        <v>1191</v>
      </c>
      <c r="B122" s="5">
        <v>13000000</v>
      </c>
      <c r="C122" t="s">
        <v>1587</v>
      </c>
      <c r="D122" t="s">
        <v>820</v>
      </c>
      <c r="E122" t="s">
        <v>389</v>
      </c>
      <c r="F122" t="s">
        <v>1192</v>
      </c>
      <c r="G122">
        <v>4</v>
      </c>
      <c r="H122">
        <v>4</v>
      </c>
      <c r="I122">
        <v>5</v>
      </c>
      <c r="J122" t="s">
        <v>29</v>
      </c>
    </row>
    <row r="123" spans="1:10" x14ac:dyDescent="0.3">
      <c r="A123" t="s">
        <v>1195</v>
      </c>
      <c r="B123" s="5">
        <v>10000000</v>
      </c>
      <c r="C123" t="s">
        <v>1587</v>
      </c>
      <c r="D123" t="s">
        <v>820</v>
      </c>
      <c r="E123" t="s">
        <v>389</v>
      </c>
      <c r="F123" t="s">
        <v>1196</v>
      </c>
      <c r="G123">
        <v>4</v>
      </c>
      <c r="H123">
        <v>4</v>
      </c>
      <c r="I123">
        <v>5</v>
      </c>
      <c r="J123" t="s">
        <v>29</v>
      </c>
    </row>
    <row r="124" spans="1:10" x14ac:dyDescent="0.3">
      <c r="A124" t="s">
        <v>1199</v>
      </c>
      <c r="B124" s="5">
        <v>10000000</v>
      </c>
      <c r="C124" t="s">
        <v>1587</v>
      </c>
      <c r="D124" t="s">
        <v>820</v>
      </c>
      <c r="E124" t="s">
        <v>389</v>
      </c>
      <c r="F124" t="s">
        <v>1200</v>
      </c>
      <c r="G124">
        <v>3</v>
      </c>
      <c r="H124">
        <v>3</v>
      </c>
      <c r="I124">
        <v>4</v>
      </c>
      <c r="J124" t="s">
        <v>19</v>
      </c>
    </row>
    <row r="125" spans="1:10" x14ac:dyDescent="0.3">
      <c r="A125" t="s">
        <v>1203</v>
      </c>
      <c r="B125" s="5">
        <v>2000000</v>
      </c>
      <c r="C125" t="s">
        <v>1588</v>
      </c>
      <c r="D125" t="s">
        <v>820</v>
      </c>
      <c r="E125" t="s">
        <v>389</v>
      </c>
      <c r="F125" t="s">
        <v>398</v>
      </c>
      <c r="G125">
        <v>1</v>
      </c>
      <c r="H125">
        <v>2</v>
      </c>
      <c r="I125">
        <v>2</v>
      </c>
      <c r="J125" t="s">
        <v>193</v>
      </c>
    </row>
    <row r="126" spans="1:10" x14ac:dyDescent="0.3">
      <c r="A126" t="s">
        <v>208</v>
      </c>
      <c r="B126" s="5">
        <v>4500000</v>
      </c>
      <c r="C126" t="s">
        <v>1588</v>
      </c>
      <c r="D126" t="s">
        <v>820</v>
      </c>
      <c r="E126" t="s">
        <v>389</v>
      </c>
      <c r="F126" t="s">
        <v>1206</v>
      </c>
      <c r="G126">
        <v>2</v>
      </c>
      <c r="H126">
        <v>3</v>
      </c>
      <c r="I126">
        <v>4</v>
      </c>
      <c r="J126" t="s">
        <v>19</v>
      </c>
    </row>
    <row r="127" spans="1:10" x14ac:dyDescent="0.3">
      <c r="A127" t="s">
        <v>1209</v>
      </c>
      <c r="B127" s="5">
        <v>3000000</v>
      </c>
      <c r="C127" t="s">
        <v>1588</v>
      </c>
      <c r="D127" t="s">
        <v>820</v>
      </c>
      <c r="E127" t="s">
        <v>389</v>
      </c>
      <c r="F127" t="s">
        <v>1210</v>
      </c>
      <c r="G127">
        <v>4</v>
      </c>
      <c r="H127">
        <v>4</v>
      </c>
      <c r="I127">
        <v>4</v>
      </c>
      <c r="J127" t="s">
        <v>19</v>
      </c>
    </row>
    <row r="128" spans="1:10" x14ac:dyDescent="0.3">
      <c r="A128" t="s">
        <v>1209</v>
      </c>
      <c r="B128" s="5">
        <v>3300000</v>
      </c>
      <c r="C128" t="s">
        <v>1588</v>
      </c>
      <c r="D128" t="s">
        <v>820</v>
      </c>
      <c r="E128" t="s">
        <v>389</v>
      </c>
      <c r="F128" t="s">
        <v>1210</v>
      </c>
      <c r="G128">
        <v>4</v>
      </c>
      <c r="H128">
        <v>4</v>
      </c>
      <c r="I128">
        <v>5</v>
      </c>
      <c r="J128" t="s">
        <v>19</v>
      </c>
    </row>
    <row r="129" spans="1:10" x14ac:dyDescent="0.3">
      <c r="A129" t="s">
        <v>545</v>
      </c>
      <c r="B129" s="5">
        <v>5000000</v>
      </c>
      <c r="C129" t="s">
        <v>1587</v>
      </c>
      <c r="D129" t="s">
        <v>820</v>
      </c>
      <c r="E129" t="s">
        <v>389</v>
      </c>
      <c r="F129" t="s">
        <v>412</v>
      </c>
      <c r="G129">
        <v>3</v>
      </c>
      <c r="H129">
        <v>3</v>
      </c>
      <c r="I129">
        <v>4</v>
      </c>
      <c r="J129" t="s">
        <v>193</v>
      </c>
    </row>
    <row r="130" spans="1:10" x14ac:dyDescent="0.3">
      <c r="A130" t="s">
        <v>1217</v>
      </c>
      <c r="B130" s="5">
        <v>2200000</v>
      </c>
      <c r="C130" t="s">
        <v>1588</v>
      </c>
      <c r="D130" t="s">
        <v>820</v>
      </c>
      <c r="E130" t="s">
        <v>389</v>
      </c>
      <c r="F130" t="s">
        <v>1218</v>
      </c>
      <c r="G130">
        <v>1</v>
      </c>
      <c r="H130">
        <v>1</v>
      </c>
      <c r="I130">
        <v>1</v>
      </c>
      <c r="J130" t="s">
        <v>19</v>
      </c>
    </row>
    <row r="131" spans="1:10" x14ac:dyDescent="0.3">
      <c r="A131" t="s">
        <v>15</v>
      </c>
      <c r="B131" s="5">
        <v>6000000</v>
      </c>
      <c r="C131" t="s">
        <v>1587</v>
      </c>
      <c r="D131" t="s">
        <v>820</v>
      </c>
      <c r="E131" t="s">
        <v>389</v>
      </c>
      <c r="F131" t="s">
        <v>1221</v>
      </c>
      <c r="G131">
        <v>3</v>
      </c>
      <c r="H131">
        <v>3</v>
      </c>
      <c r="I131">
        <v>4</v>
      </c>
      <c r="J131" t="s">
        <v>19</v>
      </c>
    </row>
    <row r="132" spans="1:10" x14ac:dyDescent="0.3">
      <c r="A132" t="s">
        <v>545</v>
      </c>
      <c r="B132" s="5">
        <v>3500000</v>
      </c>
      <c r="C132" t="s">
        <v>1588</v>
      </c>
      <c r="D132" t="s">
        <v>820</v>
      </c>
      <c r="E132" t="s">
        <v>389</v>
      </c>
      <c r="F132" t="s">
        <v>1224</v>
      </c>
      <c r="G132">
        <v>3</v>
      </c>
      <c r="H132">
        <v>3</v>
      </c>
      <c r="I132">
        <v>4</v>
      </c>
      <c r="J132" t="s">
        <v>193</v>
      </c>
    </row>
    <row r="133" spans="1:10" x14ac:dyDescent="0.3">
      <c r="A133" t="s">
        <v>1227</v>
      </c>
      <c r="B133" s="5">
        <v>4000000</v>
      </c>
      <c r="C133" t="s">
        <v>1588</v>
      </c>
      <c r="D133" t="s">
        <v>820</v>
      </c>
      <c r="E133" t="s">
        <v>389</v>
      </c>
      <c r="F133" t="s">
        <v>1228</v>
      </c>
      <c r="G133">
        <v>2</v>
      </c>
      <c r="H133">
        <v>2</v>
      </c>
      <c r="I133">
        <v>2</v>
      </c>
      <c r="J133" t="s">
        <v>38</v>
      </c>
    </row>
    <row r="134" spans="1:10" x14ac:dyDescent="0.3">
      <c r="A134" t="s">
        <v>1231</v>
      </c>
      <c r="B134" s="5">
        <v>4000000</v>
      </c>
      <c r="C134" t="s">
        <v>1588</v>
      </c>
      <c r="D134" t="s">
        <v>820</v>
      </c>
      <c r="E134" t="s">
        <v>389</v>
      </c>
      <c r="F134" t="s">
        <v>1232</v>
      </c>
      <c r="G134">
        <v>3</v>
      </c>
      <c r="H134">
        <v>3</v>
      </c>
      <c r="I134">
        <v>4</v>
      </c>
      <c r="J134" t="s">
        <v>19</v>
      </c>
    </row>
    <row r="135" spans="1:10" x14ac:dyDescent="0.3">
      <c r="A135" t="s">
        <v>138</v>
      </c>
      <c r="B135" s="5">
        <v>2500000</v>
      </c>
      <c r="C135" t="s">
        <v>1588</v>
      </c>
      <c r="D135" t="s">
        <v>820</v>
      </c>
      <c r="E135" t="s">
        <v>389</v>
      </c>
      <c r="F135" t="s">
        <v>1235</v>
      </c>
      <c r="G135">
        <v>2</v>
      </c>
      <c r="H135">
        <v>2</v>
      </c>
      <c r="I135">
        <v>2</v>
      </c>
      <c r="J135" t="s">
        <v>19</v>
      </c>
    </row>
    <row r="136" spans="1:10" x14ac:dyDescent="0.3">
      <c r="A136" t="s">
        <v>903</v>
      </c>
      <c r="B136" s="5">
        <v>4500000</v>
      </c>
      <c r="C136" t="s">
        <v>1588</v>
      </c>
      <c r="D136" t="s">
        <v>820</v>
      </c>
      <c r="E136" t="s">
        <v>389</v>
      </c>
      <c r="F136" t="s">
        <v>398</v>
      </c>
      <c r="G136">
        <v>3</v>
      </c>
      <c r="H136">
        <v>3</v>
      </c>
      <c r="I136">
        <v>4</v>
      </c>
      <c r="J136" t="s">
        <v>19</v>
      </c>
    </row>
    <row r="137" spans="1:10" x14ac:dyDescent="0.3">
      <c r="A137" t="s">
        <v>133</v>
      </c>
      <c r="B137" s="5">
        <v>9000000</v>
      </c>
      <c r="C137" t="s">
        <v>1587</v>
      </c>
      <c r="D137" t="s">
        <v>820</v>
      </c>
      <c r="E137" t="s">
        <v>389</v>
      </c>
      <c r="F137" t="s">
        <v>1240</v>
      </c>
      <c r="G137">
        <v>4</v>
      </c>
      <c r="H137">
        <v>4</v>
      </c>
      <c r="I137">
        <v>5</v>
      </c>
      <c r="J137" t="s">
        <v>29</v>
      </c>
    </row>
    <row r="138" spans="1:10" x14ac:dyDescent="0.3">
      <c r="A138" t="s">
        <v>138</v>
      </c>
      <c r="B138" s="5">
        <v>5000000</v>
      </c>
      <c r="C138" t="s">
        <v>1587</v>
      </c>
      <c r="D138" t="s">
        <v>820</v>
      </c>
      <c r="E138" t="s">
        <v>389</v>
      </c>
      <c r="F138" t="s">
        <v>1243</v>
      </c>
      <c r="G138">
        <v>2</v>
      </c>
      <c r="H138">
        <v>2</v>
      </c>
      <c r="I138">
        <v>3</v>
      </c>
      <c r="J138" t="s">
        <v>19</v>
      </c>
    </row>
    <row r="139" spans="1:10" x14ac:dyDescent="0.3">
      <c r="A139" t="s">
        <v>1246</v>
      </c>
      <c r="B139" s="5">
        <v>7500000</v>
      </c>
      <c r="C139" t="s">
        <v>1587</v>
      </c>
      <c r="D139" t="s">
        <v>820</v>
      </c>
      <c r="E139" t="s">
        <v>445</v>
      </c>
      <c r="F139" t="s">
        <v>1247</v>
      </c>
      <c r="G139">
        <v>3</v>
      </c>
      <c r="H139">
        <v>4</v>
      </c>
      <c r="I139">
        <v>4</v>
      </c>
      <c r="J139" t="s">
        <v>91</v>
      </c>
    </row>
    <row r="140" spans="1:10" x14ac:dyDescent="0.3">
      <c r="A140" t="s">
        <v>1246</v>
      </c>
      <c r="B140" s="5">
        <v>7500000</v>
      </c>
      <c r="C140" t="s">
        <v>1587</v>
      </c>
      <c r="D140" t="s">
        <v>820</v>
      </c>
      <c r="E140" t="s">
        <v>445</v>
      </c>
      <c r="F140" t="s">
        <v>1247</v>
      </c>
      <c r="G140">
        <v>3</v>
      </c>
      <c r="H140">
        <v>4</v>
      </c>
      <c r="I140">
        <v>4</v>
      </c>
      <c r="J140" t="s">
        <v>91</v>
      </c>
    </row>
    <row r="141" spans="1:10" x14ac:dyDescent="0.3">
      <c r="A141" t="s">
        <v>1246</v>
      </c>
      <c r="B141" s="5">
        <v>7500000</v>
      </c>
      <c r="C141" t="s">
        <v>1587</v>
      </c>
      <c r="D141" t="s">
        <v>820</v>
      </c>
      <c r="E141" t="s">
        <v>445</v>
      </c>
      <c r="F141" t="s">
        <v>1247</v>
      </c>
      <c r="G141">
        <v>3</v>
      </c>
      <c r="H141">
        <v>4</v>
      </c>
      <c r="I141">
        <v>4</v>
      </c>
      <c r="J141" t="s">
        <v>91</v>
      </c>
    </row>
    <row r="142" spans="1:10" x14ac:dyDescent="0.3">
      <c r="A142" t="s">
        <v>1254</v>
      </c>
      <c r="B142" s="5">
        <v>10000000</v>
      </c>
      <c r="C142" t="s">
        <v>1587</v>
      </c>
      <c r="D142" t="s">
        <v>820</v>
      </c>
      <c r="E142" t="s">
        <v>445</v>
      </c>
      <c r="F142" t="s">
        <v>1255</v>
      </c>
      <c r="G142">
        <v>3</v>
      </c>
      <c r="H142">
        <v>3</v>
      </c>
      <c r="I142">
        <v>4</v>
      </c>
      <c r="J142" t="s">
        <v>193</v>
      </c>
    </row>
    <row r="143" spans="1:10" x14ac:dyDescent="0.3">
      <c r="A143" t="s">
        <v>1258</v>
      </c>
      <c r="B143" s="5">
        <v>10000000</v>
      </c>
      <c r="C143" t="s">
        <v>1587</v>
      </c>
      <c r="D143" t="s">
        <v>820</v>
      </c>
      <c r="E143" t="s">
        <v>445</v>
      </c>
      <c r="F143" t="s">
        <v>1259</v>
      </c>
      <c r="G143">
        <v>4</v>
      </c>
      <c r="H143">
        <v>4</v>
      </c>
      <c r="I143">
        <v>4</v>
      </c>
      <c r="J143" t="s">
        <v>193</v>
      </c>
    </row>
    <row r="144" spans="1:10" x14ac:dyDescent="0.3">
      <c r="A144" t="s">
        <v>1262</v>
      </c>
      <c r="B144" s="5">
        <v>10000000</v>
      </c>
      <c r="C144" t="s">
        <v>1587</v>
      </c>
      <c r="D144" t="s">
        <v>820</v>
      </c>
      <c r="E144" t="s">
        <v>501</v>
      </c>
      <c r="F144" t="s">
        <v>502</v>
      </c>
      <c r="G144">
        <v>2</v>
      </c>
      <c r="H144">
        <v>2</v>
      </c>
      <c r="I144">
        <v>2</v>
      </c>
      <c r="J144" t="s">
        <v>29</v>
      </c>
    </row>
    <row r="145" spans="1:10" x14ac:dyDescent="0.3">
      <c r="A145" t="s">
        <v>1265</v>
      </c>
      <c r="B145" s="5">
        <v>2200000</v>
      </c>
      <c r="C145" t="s">
        <v>1588</v>
      </c>
      <c r="D145" t="s">
        <v>820</v>
      </c>
      <c r="E145" t="s">
        <v>501</v>
      </c>
      <c r="F145" t="s">
        <v>1266</v>
      </c>
      <c r="G145">
        <v>1</v>
      </c>
      <c r="H145">
        <v>1</v>
      </c>
      <c r="I145">
        <v>2</v>
      </c>
      <c r="J145" t="s">
        <v>19</v>
      </c>
    </row>
    <row r="146" spans="1:10" x14ac:dyDescent="0.3">
      <c r="A146" t="s">
        <v>1269</v>
      </c>
      <c r="B146" s="5">
        <v>8000000</v>
      </c>
      <c r="C146" t="s">
        <v>1587</v>
      </c>
      <c r="D146" t="s">
        <v>820</v>
      </c>
      <c r="E146" t="s">
        <v>501</v>
      </c>
      <c r="F146" t="s">
        <v>1270</v>
      </c>
      <c r="G146">
        <v>6</v>
      </c>
      <c r="H146">
        <v>6</v>
      </c>
      <c r="I146">
        <v>7</v>
      </c>
      <c r="J146" t="s">
        <v>38</v>
      </c>
    </row>
    <row r="147" spans="1:10" x14ac:dyDescent="0.3">
      <c r="A147" t="s">
        <v>1273</v>
      </c>
      <c r="B147" s="5">
        <v>6000000</v>
      </c>
      <c r="C147" t="s">
        <v>1587</v>
      </c>
      <c r="D147" t="s">
        <v>820</v>
      </c>
      <c r="E147" t="s">
        <v>501</v>
      </c>
      <c r="F147" t="s">
        <v>1274</v>
      </c>
      <c r="G147">
        <v>3</v>
      </c>
      <c r="H147">
        <v>3</v>
      </c>
      <c r="I147">
        <v>4</v>
      </c>
      <c r="J147" t="s">
        <v>193</v>
      </c>
    </row>
    <row r="148" spans="1:10" x14ac:dyDescent="0.3">
      <c r="A148" t="s">
        <v>1277</v>
      </c>
      <c r="B148" s="5">
        <v>8000000</v>
      </c>
      <c r="C148" t="s">
        <v>1587</v>
      </c>
      <c r="D148" t="s">
        <v>820</v>
      </c>
      <c r="E148" t="s">
        <v>501</v>
      </c>
      <c r="F148" t="s">
        <v>1278</v>
      </c>
      <c r="G148">
        <v>4</v>
      </c>
      <c r="H148">
        <v>4</v>
      </c>
      <c r="I148">
        <v>5</v>
      </c>
      <c r="J148" t="s">
        <v>70</v>
      </c>
    </row>
    <row r="149" spans="1:10" x14ac:dyDescent="0.3">
      <c r="A149" t="s">
        <v>1281</v>
      </c>
      <c r="B149" s="5">
        <v>3500000</v>
      </c>
      <c r="C149" t="s">
        <v>1588</v>
      </c>
      <c r="D149" t="s">
        <v>820</v>
      </c>
      <c r="E149" t="s">
        <v>501</v>
      </c>
      <c r="F149" t="s">
        <v>1282</v>
      </c>
      <c r="G149">
        <v>2</v>
      </c>
      <c r="H149">
        <v>3</v>
      </c>
      <c r="I149">
        <v>3</v>
      </c>
      <c r="J149" t="s">
        <v>19</v>
      </c>
    </row>
    <row r="150" spans="1:10" x14ac:dyDescent="0.3">
      <c r="A150" t="s">
        <v>545</v>
      </c>
      <c r="B150" s="5">
        <v>4800000</v>
      </c>
      <c r="C150" t="s">
        <v>1588</v>
      </c>
      <c r="D150" t="s">
        <v>820</v>
      </c>
      <c r="E150" t="s">
        <v>501</v>
      </c>
      <c r="F150" t="s">
        <v>502</v>
      </c>
      <c r="G150">
        <v>3</v>
      </c>
      <c r="H150">
        <v>4</v>
      </c>
      <c r="I150">
        <v>4</v>
      </c>
      <c r="J150" t="s">
        <v>193</v>
      </c>
    </row>
    <row r="151" spans="1:10" x14ac:dyDescent="0.3">
      <c r="A151" t="s">
        <v>208</v>
      </c>
      <c r="B151" s="5">
        <v>4000000</v>
      </c>
      <c r="C151" t="s">
        <v>1588</v>
      </c>
      <c r="D151" t="s">
        <v>820</v>
      </c>
      <c r="E151" t="s">
        <v>501</v>
      </c>
      <c r="F151" t="s">
        <v>502</v>
      </c>
      <c r="G151">
        <v>2</v>
      </c>
      <c r="H151">
        <v>2</v>
      </c>
      <c r="I151">
        <v>2</v>
      </c>
      <c r="J151" t="s">
        <v>19</v>
      </c>
    </row>
    <row r="152" spans="1:10" x14ac:dyDescent="0.3">
      <c r="A152" t="s">
        <v>1289</v>
      </c>
      <c r="B152" s="5">
        <v>5500000</v>
      </c>
      <c r="C152" t="s">
        <v>1587</v>
      </c>
      <c r="D152" t="s">
        <v>820</v>
      </c>
      <c r="E152" t="s">
        <v>501</v>
      </c>
      <c r="F152" t="s">
        <v>502</v>
      </c>
      <c r="G152">
        <v>3</v>
      </c>
      <c r="H152">
        <v>3</v>
      </c>
      <c r="I152">
        <v>3</v>
      </c>
      <c r="J152" t="s">
        <v>193</v>
      </c>
    </row>
    <row r="153" spans="1:10" x14ac:dyDescent="0.3">
      <c r="A153" t="s">
        <v>1292</v>
      </c>
      <c r="B153" s="5">
        <v>800000</v>
      </c>
      <c r="C153" t="s">
        <v>1588</v>
      </c>
      <c r="D153" t="s">
        <v>820</v>
      </c>
      <c r="E153" t="s">
        <v>501</v>
      </c>
      <c r="F153" t="s">
        <v>1293</v>
      </c>
      <c r="G153">
        <v>1</v>
      </c>
      <c r="H153">
        <v>1</v>
      </c>
      <c r="I153">
        <v>1</v>
      </c>
      <c r="J153" t="s">
        <v>19</v>
      </c>
    </row>
    <row r="154" spans="1:10" x14ac:dyDescent="0.3">
      <c r="A154" t="s">
        <v>1296</v>
      </c>
      <c r="B154" s="5">
        <v>5000000</v>
      </c>
      <c r="C154" t="s">
        <v>1587</v>
      </c>
      <c r="D154" t="s">
        <v>820</v>
      </c>
      <c r="E154" t="s">
        <v>501</v>
      </c>
      <c r="F154" t="s">
        <v>502</v>
      </c>
      <c r="G154">
        <v>3</v>
      </c>
      <c r="H154">
        <v>3</v>
      </c>
      <c r="I154">
        <v>4</v>
      </c>
      <c r="J154" t="s">
        <v>29</v>
      </c>
    </row>
    <row r="155" spans="1:10" x14ac:dyDescent="0.3">
      <c r="A155" t="s">
        <v>99</v>
      </c>
      <c r="B155" s="5">
        <v>5000000</v>
      </c>
      <c r="C155" t="s">
        <v>1587</v>
      </c>
      <c r="D155" t="s">
        <v>820</v>
      </c>
      <c r="E155" t="s">
        <v>501</v>
      </c>
      <c r="F155" t="s">
        <v>1299</v>
      </c>
      <c r="G155">
        <v>4</v>
      </c>
      <c r="H155">
        <v>4</v>
      </c>
      <c r="I155">
        <v>5</v>
      </c>
      <c r="J155" t="s">
        <v>38</v>
      </c>
    </row>
    <row r="156" spans="1:10" x14ac:dyDescent="0.3">
      <c r="A156" t="s">
        <v>912</v>
      </c>
      <c r="B156" s="5">
        <v>1700000</v>
      </c>
      <c r="C156" t="s">
        <v>1588</v>
      </c>
      <c r="D156" t="s">
        <v>820</v>
      </c>
      <c r="E156" t="s">
        <v>501</v>
      </c>
      <c r="F156" t="s">
        <v>502</v>
      </c>
      <c r="G156">
        <v>1</v>
      </c>
      <c r="H156">
        <v>1</v>
      </c>
      <c r="I156">
        <v>1</v>
      </c>
      <c r="J156" t="s">
        <v>19</v>
      </c>
    </row>
    <row r="157" spans="1:10" x14ac:dyDescent="0.3">
      <c r="A157" t="s">
        <v>138</v>
      </c>
      <c r="B157" s="5">
        <v>3500000</v>
      </c>
      <c r="C157" t="s">
        <v>1588</v>
      </c>
      <c r="D157" t="s">
        <v>820</v>
      </c>
      <c r="E157" t="s">
        <v>501</v>
      </c>
      <c r="F157" t="s">
        <v>1304</v>
      </c>
      <c r="G157">
        <v>2</v>
      </c>
      <c r="H157">
        <v>2</v>
      </c>
      <c r="I157">
        <v>3</v>
      </c>
      <c r="J157" t="s">
        <v>19</v>
      </c>
    </row>
    <row r="158" spans="1:10" x14ac:dyDescent="0.3">
      <c r="A158" t="s">
        <v>227</v>
      </c>
      <c r="B158" s="5">
        <v>4000000</v>
      </c>
      <c r="C158" t="s">
        <v>1588</v>
      </c>
      <c r="D158" t="s">
        <v>820</v>
      </c>
      <c r="E158" t="s">
        <v>501</v>
      </c>
      <c r="F158" t="s">
        <v>1307</v>
      </c>
      <c r="G158">
        <v>2</v>
      </c>
      <c r="H158">
        <v>3</v>
      </c>
      <c r="I158">
        <v>3</v>
      </c>
      <c r="J158" t="s">
        <v>19</v>
      </c>
    </row>
    <row r="159" spans="1:10" x14ac:dyDescent="0.3">
      <c r="A159" t="s">
        <v>1310</v>
      </c>
      <c r="B159" s="5">
        <v>8000000</v>
      </c>
      <c r="C159" t="s">
        <v>1587</v>
      </c>
      <c r="D159" t="s">
        <v>820</v>
      </c>
      <c r="E159" t="s">
        <v>501</v>
      </c>
      <c r="F159" t="s">
        <v>502</v>
      </c>
      <c r="G159">
        <v>4</v>
      </c>
      <c r="H159">
        <v>5</v>
      </c>
      <c r="I159">
        <v>5</v>
      </c>
      <c r="J159" t="s">
        <v>193</v>
      </c>
    </row>
    <row r="160" spans="1:10" x14ac:dyDescent="0.3">
      <c r="A160" t="s">
        <v>1313</v>
      </c>
      <c r="B160" s="5">
        <v>6500000</v>
      </c>
      <c r="C160" t="s">
        <v>1587</v>
      </c>
      <c r="D160" t="s">
        <v>820</v>
      </c>
      <c r="E160" t="s">
        <v>501</v>
      </c>
      <c r="F160" t="s">
        <v>1314</v>
      </c>
      <c r="G160">
        <v>3</v>
      </c>
      <c r="H160">
        <v>3</v>
      </c>
      <c r="I160">
        <v>4</v>
      </c>
      <c r="J160" t="s">
        <v>91</v>
      </c>
    </row>
    <row r="161" spans="1:10" x14ac:dyDescent="0.3">
      <c r="A161" t="s">
        <v>1317</v>
      </c>
      <c r="B161" s="5">
        <v>4500000</v>
      </c>
      <c r="C161" t="s">
        <v>1588</v>
      </c>
      <c r="D161" t="s">
        <v>820</v>
      </c>
      <c r="E161" t="s">
        <v>570</v>
      </c>
      <c r="F161" t="s">
        <v>1318</v>
      </c>
      <c r="G161">
        <v>3</v>
      </c>
      <c r="H161">
        <v>3</v>
      </c>
      <c r="I161">
        <v>4</v>
      </c>
      <c r="J161" t="s">
        <v>193</v>
      </c>
    </row>
    <row r="162" spans="1:10" x14ac:dyDescent="0.3">
      <c r="A162" t="s">
        <v>1321</v>
      </c>
      <c r="B162" s="5">
        <v>4500000</v>
      </c>
      <c r="C162" t="s">
        <v>1588</v>
      </c>
      <c r="D162" t="s">
        <v>820</v>
      </c>
      <c r="E162" t="s">
        <v>570</v>
      </c>
      <c r="F162" t="s">
        <v>1322</v>
      </c>
      <c r="G162">
        <v>2</v>
      </c>
      <c r="H162">
        <v>2</v>
      </c>
      <c r="I162">
        <v>3</v>
      </c>
      <c r="J162" t="s">
        <v>91</v>
      </c>
    </row>
    <row r="163" spans="1:10" x14ac:dyDescent="0.3">
      <c r="A163" t="s">
        <v>1325</v>
      </c>
      <c r="B163" s="5">
        <v>6000000</v>
      </c>
      <c r="C163" t="s">
        <v>1587</v>
      </c>
      <c r="D163" t="s">
        <v>820</v>
      </c>
      <c r="E163" t="s">
        <v>570</v>
      </c>
      <c r="F163" t="s">
        <v>1326</v>
      </c>
      <c r="G163">
        <v>2</v>
      </c>
      <c r="H163">
        <v>2</v>
      </c>
      <c r="I163">
        <v>3</v>
      </c>
      <c r="J163" t="s">
        <v>19</v>
      </c>
    </row>
    <row r="164" spans="1:10" x14ac:dyDescent="0.3">
      <c r="A164" t="s">
        <v>1329</v>
      </c>
      <c r="B164" s="5">
        <v>3500000</v>
      </c>
      <c r="C164" t="s">
        <v>1588</v>
      </c>
      <c r="D164" t="s">
        <v>820</v>
      </c>
      <c r="E164" t="s">
        <v>570</v>
      </c>
      <c r="F164" t="s">
        <v>606</v>
      </c>
      <c r="G164">
        <v>2</v>
      </c>
      <c r="H164">
        <v>3</v>
      </c>
      <c r="I164">
        <v>3</v>
      </c>
      <c r="J164" t="s">
        <v>19</v>
      </c>
    </row>
    <row r="165" spans="1:10" x14ac:dyDescent="0.3">
      <c r="A165" t="s">
        <v>1332</v>
      </c>
      <c r="B165" s="5">
        <v>3000000</v>
      </c>
      <c r="C165" t="s">
        <v>1588</v>
      </c>
      <c r="D165" t="s">
        <v>820</v>
      </c>
      <c r="E165" t="s">
        <v>570</v>
      </c>
      <c r="F165" t="s">
        <v>1333</v>
      </c>
      <c r="G165">
        <v>2</v>
      </c>
      <c r="H165">
        <v>3</v>
      </c>
      <c r="I165">
        <v>3</v>
      </c>
      <c r="J165" t="s">
        <v>19</v>
      </c>
    </row>
    <row r="166" spans="1:10" x14ac:dyDescent="0.3">
      <c r="A166" t="s">
        <v>133</v>
      </c>
      <c r="B166" s="5">
        <v>10000000</v>
      </c>
      <c r="C166" t="s">
        <v>1587</v>
      </c>
      <c r="D166" t="s">
        <v>820</v>
      </c>
      <c r="E166" t="s">
        <v>570</v>
      </c>
      <c r="F166" t="s">
        <v>1336</v>
      </c>
      <c r="G166">
        <v>4</v>
      </c>
      <c r="H166">
        <v>5</v>
      </c>
      <c r="I166">
        <v>5</v>
      </c>
      <c r="J166" t="s">
        <v>29</v>
      </c>
    </row>
    <row r="167" spans="1:10" x14ac:dyDescent="0.3">
      <c r="A167" t="s">
        <v>99</v>
      </c>
      <c r="B167" s="5">
        <v>8500000</v>
      </c>
      <c r="C167" t="s">
        <v>1587</v>
      </c>
      <c r="D167" t="s">
        <v>820</v>
      </c>
      <c r="E167" t="s">
        <v>570</v>
      </c>
      <c r="F167" t="s">
        <v>587</v>
      </c>
      <c r="G167">
        <v>4</v>
      </c>
      <c r="H167">
        <v>4</v>
      </c>
      <c r="I167">
        <v>4</v>
      </c>
      <c r="J167" t="s">
        <v>38</v>
      </c>
    </row>
    <row r="168" spans="1:10" x14ac:dyDescent="0.3">
      <c r="A168" t="s">
        <v>1341</v>
      </c>
      <c r="B168" s="5">
        <v>10000000</v>
      </c>
      <c r="C168" t="s">
        <v>1587</v>
      </c>
      <c r="D168" t="s">
        <v>820</v>
      </c>
      <c r="E168" t="s">
        <v>570</v>
      </c>
      <c r="F168" t="s">
        <v>1342</v>
      </c>
      <c r="G168">
        <v>6</v>
      </c>
      <c r="H168">
        <v>6</v>
      </c>
      <c r="I168">
        <v>6</v>
      </c>
      <c r="J168" t="s">
        <v>38</v>
      </c>
    </row>
    <row r="169" spans="1:10" x14ac:dyDescent="0.3">
      <c r="A169" t="s">
        <v>545</v>
      </c>
      <c r="B169" s="5">
        <v>6500000</v>
      </c>
      <c r="C169" t="s">
        <v>1587</v>
      </c>
      <c r="D169" t="s">
        <v>820</v>
      </c>
      <c r="E169" t="s">
        <v>570</v>
      </c>
      <c r="F169" t="s">
        <v>587</v>
      </c>
      <c r="G169">
        <v>3</v>
      </c>
      <c r="H169">
        <v>3</v>
      </c>
      <c r="I169">
        <v>4</v>
      </c>
      <c r="J169" t="s">
        <v>193</v>
      </c>
    </row>
    <row r="170" spans="1:10" x14ac:dyDescent="0.3">
      <c r="A170" t="s">
        <v>1347</v>
      </c>
      <c r="B170" s="5">
        <v>9000000</v>
      </c>
      <c r="C170" t="s">
        <v>1587</v>
      </c>
      <c r="D170" t="s">
        <v>820</v>
      </c>
      <c r="E170" t="s">
        <v>570</v>
      </c>
      <c r="F170" t="s">
        <v>1348</v>
      </c>
      <c r="G170">
        <v>4</v>
      </c>
      <c r="H170">
        <v>5</v>
      </c>
      <c r="I170">
        <v>5</v>
      </c>
      <c r="J170" t="s">
        <v>38</v>
      </c>
    </row>
    <row r="171" spans="1:10" x14ac:dyDescent="0.3">
      <c r="A171" t="s">
        <v>99</v>
      </c>
      <c r="B171" s="5">
        <v>6000000</v>
      </c>
      <c r="C171" t="s">
        <v>1587</v>
      </c>
      <c r="D171" t="s">
        <v>820</v>
      </c>
      <c r="E171" t="s">
        <v>570</v>
      </c>
      <c r="F171" t="s">
        <v>587</v>
      </c>
      <c r="G171">
        <v>4</v>
      </c>
      <c r="H171">
        <v>4</v>
      </c>
      <c r="I171">
        <v>5</v>
      </c>
      <c r="J171" t="s">
        <v>38</v>
      </c>
    </row>
    <row r="172" spans="1:10" x14ac:dyDescent="0.3">
      <c r="A172" t="s">
        <v>138</v>
      </c>
      <c r="B172" s="5">
        <v>6000000</v>
      </c>
      <c r="C172" t="s">
        <v>1587</v>
      </c>
      <c r="D172" t="s">
        <v>820</v>
      </c>
      <c r="E172" t="s">
        <v>570</v>
      </c>
      <c r="F172" t="s">
        <v>623</v>
      </c>
      <c r="G172">
        <v>2</v>
      </c>
      <c r="H172">
        <v>2</v>
      </c>
      <c r="I172">
        <v>3</v>
      </c>
      <c r="J172" t="s">
        <v>19</v>
      </c>
    </row>
    <row r="173" spans="1:10" x14ac:dyDescent="0.3">
      <c r="A173" t="s">
        <v>138</v>
      </c>
      <c r="B173" s="5">
        <v>4000000</v>
      </c>
      <c r="C173" t="s">
        <v>1588</v>
      </c>
      <c r="D173" t="s">
        <v>820</v>
      </c>
      <c r="E173" t="s">
        <v>570</v>
      </c>
      <c r="F173" t="s">
        <v>1355</v>
      </c>
      <c r="G173">
        <v>2</v>
      </c>
      <c r="H173">
        <v>3</v>
      </c>
      <c r="I173">
        <v>3</v>
      </c>
      <c r="J173" t="s">
        <v>19</v>
      </c>
    </row>
    <row r="174" spans="1:10" x14ac:dyDescent="0.3">
      <c r="A174" t="s">
        <v>15</v>
      </c>
      <c r="B174" s="5">
        <v>6000000</v>
      </c>
      <c r="C174" t="s">
        <v>1587</v>
      </c>
      <c r="D174" t="s">
        <v>820</v>
      </c>
      <c r="E174" t="s">
        <v>570</v>
      </c>
      <c r="F174" t="s">
        <v>623</v>
      </c>
      <c r="G174">
        <v>3</v>
      </c>
      <c r="H174">
        <v>3</v>
      </c>
      <c r="I174">
        <v>4</v>
      </c>
      <c r="J174" t="s">
        <v>19</v>
      </c>
    </row>
    <row r="175" spans="1:10" x14ac:dyDescent="0.3">
      <c r="A175" t="s">
        <v>1360</v>
      </c>
      <c r="B175" s="5">
        <v>6000000</v>
      </c>
      <c r="C175" t="s">
        <v>1587</v>
      </c>
      <c r="D175" t="s">
        <v>820</v>
      </c>
      <c r="E175" t="s">
        <v>570</v>
      </c>
      <c r="F175" t="s">
        <v>1361</v>
      </c>
      <c r="G175">
        <v>3</v>
      </c>
      <c r="H175">
        <v>4</v>
      </c>
      <c r="I175">
        <v>4</v>
      </c>
      <c r="J175" t="s">
        <v>19</v>
      </c>
    </row>
    <row r="176" spans="1:10" x14ac:dyDescent="0.3">
      <c r="A176" t="s">
        <v>1364</v>
      </c>
      <c r="B176" s="5">
        <v>3000000</v>
      </c>
      <c r="C176" t="s">
        <v>1588</v>
      </c>
      <c r="D176" t="s">
        <v>820</v>
      </c>
      <c r="E176" t="s">
        <v>570</v>
      </c>
      <c r="F176" t="s">
        <v>1365</v>
      </c>
      <c r="G176">
        <v>2</v>
      </c>
      <c r="H176">
        <v>3</v>
      </c>
      <c r="I176">
        <v>3</v>
      </c>
      <c r="J176" t="s">
        <v>19</v>
      </c>
    </row>
    <row r="177" spans="1:10" x14ac:dyDescent="0.3">
      <c r="A177" t="s">
        <v>1368</v>
      </c>
      <c r="B177" s="5">
        <v>2000000</v>
      </c>
      <c r="C177" t="s">
        <v>1588</v>
      </c>
      <c r="D177" t="s">
        <v>820</v>
      </c>
      <c r="E177" t="s">
        <v>570</v>
      </c>
      <c r="F177" t="s">
        <v>1369</v>
      </c>
      <c r="G177">
        <v>1</v>
      </c>
      <c r="H177">
        <v>2</v>
      </c>
      <c r="I177">
        <v>2</v>
      </c>
      <c r="J177" t="s">
        <v>19</v>
      </c>
    </row>
    <row r="178" spans="1:10" x14ac:dyDescent="0.3">
      <c r="A178" t="s">
        <v>1372</v>
      </c>
      <c r="B178" s="5">
        <v>6000000</v>
      </c>
      <c r="C178" t="s">
        <v>1587</v>
      </c>
      <c r="D178" t="s">
        <v>820</v>
      </c>
      <c r="E178" t="s">
        <v>570</v>
      </c>
      <c r="F178" t="s">
        <v>1373</v>
      </c>
      <c r="G178">
        <v>3</v>
      </c>
      <c r="H178">
        <v>3</v>
      </c>
      <c r="I178">
        <v>4</v>
      </c>
      <c r="J178" t="s">
        <v>193</v>
      </c>
    </row>
    <row r="179" spans="1:10" x14ac:dyDescent="0.3">
      <c r="A179" t="s">
        <v>650</v>
      </c>
      <c r="B179" s="5">
        <v>6500000</v>
      </c>
      <c r="C179" t="s">
        <v>1587</v>
      </c>
      <c r="D179" t="s">
        <v>820</v>
      </c>
      <c r="E179" t="s">
        <v>259</v>
      </c>
      <c r="F179" t="s">
        <v>635</v>
      </c>
      <c r="G179">
        <v>4</v>
      </c>
      <c r="H179">
        <v>4</v>
      </c>
      <c r="I179">
        <v>4</v>
      </c>
      <c r="J179" t="s">
        <v>70</v>
      </c>
    </row>
    <row r="180" spans="1:10" x14ac:dyDescent="0.3">
      <c r="A180" t="s">
        <v>650</v>
      </c>
      <c r="B180" s="5">
        <v>6500000</v>
      </c>
      <c r="C180" t="s">
        <v>1587</v>
      </c>
      <c r="D180" t="s">
        <v>820</v>
      </c>
      <c r="E180" t="s">
        <v>259</v>
      </c>
      <c r="F180" t="s">
        <v>635</v>
      </c>
      <c r="G180">
        <v>4</v>
      </c>
      <c r="H180">
        <v>4</v>
      </c>
      <c r="I180">
        <v>4</v>
      </c>
      <c r="J180" t="s">
        <v>70</v>
      </c>
    </row>
    <row r="181" spans="1:10" x14ac:dyDescent="0.3">
      <c r="A181" t="s">
        <v>992</v>
      </c>
      <c r="B181" s="5">
        <v>4500000</v>
      </c>
      <c r="C181" t="s">
        <v>1588</v>
      </c>
      <c r="D181" t="s">
        <v>820</v>
      </c>
      <c r="E181" t="s">
        <v>259</v>
      </c>
      <c r="F181" t="s">
        <v>647</v>
      </c>
      <c r="G181">
        <v>2</v>
      </c>
      <c r="H181">
        <v>3</v>
      </c>
      <c r="I181">
        <v>3</v>
      </c>
      <c r="J181" t="s">
        <v>19</v>
      </c>
    </row>
    <row r="182" spans="1:10" x14ac:dyDescent="0.3">
      <c r="A182" t="s">
        <v>1382</v>
      </c>
      <c r="B182" s="5">
        <v>4500000</v>
      </c>
      <c r="C182" t="s">
        <v>1588</v>
      </c>
      <c r="D182" t="s">
        <v>820</v>
      </c>
      <c r="E182" t="s">
        <v>259</v>
      </c>
      <c r="F182" t="s">
        <v>635</v>
      </c>
      <c r="G182">
        <v>2</v>
      </c>
      <c r="H182">
        <v>3</v>
      </c>
      <c r="I182">
        <v>3</v>
      </c>
      <c r="J182" t="s">
        <v>70</v>
      </c>
    </row>
    <row r="183" spans="1:10" x14ac:dyDescent="0.3">
      <c r="A183" t="s">
        <v>1385</v>
      </c>
      <c r="B183" s="5">
        <v>3000000</v>
      </c>
      <c r="C183" t="s">
        <v>1588</v>
      </c>
      <c r="D183" t="s">
        <v>820</v>
      </c>
      <c r="E183" t="s">
        <v>259</v>
      </c>
      <c r="F183" t="s">
        <v>1386</v>
      </c>
      <c r="G183">
        <v>2</v>
      </c>
      <c r="H183">
        <v>3</v>
      </c>
      <c r="I183">
        <v>3</v>
      </c>
      <c r="J183" t="s">
        <v>19</v>
      </c>
    </row>
    <row r="184" spans="1:10" x14ac:dyDescent="0.3">
      <c r="A184" t="s">
        <v>227</v>
      </c>
      <c r="B184" s="5">
        <v>3000000</v>
      </c>
      <c r="C184" t="s">
        <v>1588</v>
      </c>
      <c r="D184" t="s">
        <v>820</v>
      </c>
      <c r="E184" t="s">
        <v>259</v>
      </c>
      <c r="F184" t="s">
        <v>1389</v>
      </c>
      <c r="G184">
        <v>2</v>
      </c>
      <c r="H184">
        <v>3</v>
      </c>
      <c r="I184">
        <v>3</v>
      </c>
      <c r="J184" t="s">
        <v>19</v>
      </c>
    </row>
    <row r="185" spans="1:10" x14ac:dyDescent="0.3">
      <c r="A185" t="s">
        <v>138</v>
      </c>
      <c r="B185" s="5">
        <v>2800000</v>
      </c>
      <c r="C185" t="s">
        <v>1588</v>
      </c>
      <c r="D185" t="s">
        <v>820</v>
      </c>
      <c r="E185" t="s">
        <v>259</v>
      </c>
      <c r="F185" t="s">
        <v>1392</v>
      </c>
      <c r="G185">
        <v>2</v>
      </c>
      <c r="H185">
        <v>3</v>
      </c>
      <c r="I185">
        <v>3</v>
      </c>
      <c r="J185" t="s">
        <v>19</v>
      </c>
    </row>
    <row r="186" spans="1:10" x14ac:dyDescent="0.3">
      <c r="A186" t="s">
        <v>1395</v>
      </c>
      <c r="B186" s="5">
        <v>3000000</v>
      </c>
      <c r="C186" t="s">
        <v>1588</v>
      </c>
      <c r="D186" t="s">
        <v>820</v>
      </c>
      <c r="E186" t="s">
        <v>259</v>
      </c>
      <c r="F186" t="s">
        <v>1386</v>
      </c>
      <c r="G186">
        <v>3</v>
      </c>
      <c r="H186">
        <v>3</v>
      </c>
      <c r="I186">
        <v>3</v>
      </c>
      <c r="J186" t="s">
        <v>193</v>
      </c>
    </row>
    <row r="187" spans="1:10" x14ac:dyDescent="0.3">
      <c r="A187" t="s">
        <v>212</v>
      </c>
      <c r="B187" s="5">
        <v>2000000</v>
      </c>
      <c r="C187" t="s">
        <v>1588</v>
      </c>
      <c r="D187" t="s">
        <v>820</v>
      </c>
      <c r="E187" t="s">
        <v>259</v>
      </c>
      <c r="F187" t="s">
        <v>1398</v>
      </c>
      <c r="G187">
        <v>1</v>
      </c>
      <c r="H187">
        <v>2</v>
      </c>
      <c r="I187">
        <v>2</v>
      </c>
      <c r="J187" t="s">
        <v>19</v>
      </c>
    </row>
    <row r="188" spans="1:10" x14ac:dyDescent="0.3">
      <c r="A188" t="s">
        <v>15</v>
      </c>
      <c r="B188" s="5">
        <v>3500000</v>
      </c>
      <c r="C188" t="s">
        <v>1588</v>
      </c>
      <c r="D188" t="s">
        <v>820</v>
      </c>
      <c r="E188" t="s">
        <v>259</v>
      </c>
      <c r="F188" t="s">
        <v>1401</v>
      </c>
      <c r="G188">
        <v>3</v>
      </c>
      <c r="H188">
        <v>3</v>
      </c>
      <c r="I188">
        <v>3</v>
      </c>
      <c r="J188" t="s">
        <v>19</v>
      </c>
    </row>
    <row r="189" spans="1:10" x14ac:dyDescent="0.3">
      <c r="A189" t="s">
        <v>138</v>
      </c>
      <c r="B189" s="5">
        <v>3000000</v>
      </c>
      <c r="C189" t="s">
        <v>1588</v>
      </c>
      <c r="D189" t="s">
        <v>820</v>
      </c>
      <c r="E189" t="s">
        <v>259</v>
      </c>
      <c r="F189" t="s">
        <v>1398</v>
      </c>
      <c r="G189">
        <v>2</v>
      </c>
      <c r="H189">
        <v>2</v>
      </c>
      <c r="I189">
        <v>2</v>
      </c>
      <c r="J189" t="s">
        <v>19</v>
      </c>
    </row>
    <row r="190" spans="1:10" x14ac:dyDescent="0.3">
      <c r="A190" t="s">
        <v>15</v>
      </c>
      <c r="B190" s="5">
        <v>3500000</v>
      </c>
      <c r="C190" t="s">
        <v>1588</v>
      </c>
      <c r="D190" t="s">
        <v>820</v>
      </c>
      <c r="E190" t="s">
        <v>259</v>
      </c>
      <c r="F190" t="s">
        <v>1406</v>
      </c>
      <c r="G190">
        <v>3</v>
      </c>
      <c r="H190">
        <v>3</v>
      </c>
      <c r="I190">
        <v>3</v>
      </c>
      <c r="J190" t="s">
        <v>19</v>
      </c>
    </row>
    <row r="191" spans="1:10" x14ac:dyDescent="0.3">
      <c r="A191" t="s">
        <v>208</v>
      </c>
      <c r="B191" s="5">
        <v>2500000</v>
      </c>
      <c r="C191" t="s">
        <v>1588</v>
      </c>
      <c r="D191" t="s">
        <v>820</v>
      </c>
      <c r="E191" t="s">
        <v>259</v>
      </c>
      <c r="F191" t="s">
        <v>1398</v>
      </c>
      <c r="G191">
        <v>2</v>
      </c>
      <c r="H191">
        <v>2</v>
      </c>
      <c r="I191">
        <v>2</v>
      </c>
      <c r="J191" t="s">
        <v>19</v>
      </c>
    </row>
    <row r="192" spans="1:10" x14ac:dyDescent="0.3">
      <c r="A192" t="s">
        <v>545</v>
      </c>
      <c r="B192" s="5">
        <v>3000000</v>
      </c>
      <c r="C192" t="s">
        <v>1588</v>
      </c>
      <c r="D192" t="s">
        <v>820</v>
      </c>
      <c r="E192" t="s">
        <v>259</v>
      </c>
      <c r="F192" t="s">
        <v>1386</v>
      </c>
      <c r="G192">
        <v>3</v>
      </c>
      <c r="H192">
        <v>3</v>
      </c>
      <c r="I192">
        <v>3</v>
      </c>
      <c r="J192" t="s">
        <v>193</v>
      </c>
    </row>
    <row r="193" spans="1:10" x14ac:dyDescent="0.3">
      <c r="A193" t="s">
        <v>227</v>
      </c>
      <c r="B193" s="5">
        <v>3500000</v>
      </c>
      <c r="C193" t="s">
        <v>1588</v>
      </c>
      <c r="D193" t="s">
        <v>820</v>
      </c>
      <c r="E193" t="s">
        <v>259</v>
      </c>
      <c r="F193" t="s">
        <v>1413</v>
      </c>
      <c r="G193">
        <v>2</v>
      </c>
      <c r="H193">
        <v>3</v>
      </c>
      <c r="I193">
        <v>3</v>
      </c>
      <c r="J193" t="s">
        <v>19</v>
      </c>
    </row>
    <row r="194" spans="1:10" x14ac:dyDescent="0.3">
      <c r="A194" t="s">
        <v>1416</v>
      </c>
      <c r="B194" s="5">
        <v>4500000</v>
      </c>
      <c r="C194" t="s">
        <v>1588</v>
      </c>
      <c r="D194" t="s">
        <v>820</v>
      </c>
      <c r="E194" t="s">
        <v>259</v>
      </c>
      <c r="F194" t="s">
        <v>1417</v>
      </c>
      <c r="G194">
        <v>2</v>
      </c>
      <c r="H194">
        <v>3</v>
      </c>
      <c r="I194">
        <v>3</v>
      </c>
      <c r="J194" t="s">
        <v>29</v>
      </c>
    </row>
    <row r="195" spans="1:10" x14ac:dyDescent="0.3">
      <c r="A195" t="s">
        <v>1420</v>
      </c>
      <c r="B195" s="5">
        <v>160000000</v>
      </c>
      <c r="C195" t="s">
        <v>1585</v>
      </c>
      <c r="D195" t="s">
        <v>820</v>
      </c>
      <c r="E195" t="s">
        <v>259</v>
      </c>
      <c r="F195" t="s">
        <v>1421</v>
      </c>
      <c r="G195">
        <v>5</v>
      </c>
      <c r="H195">
        <v>5</v>
      </c>
      <c r="I195">
        <v>6</v>
      </c>
      <c r="J195" t="s">
        <v>38</v>
      </c>
    </row>
    <row r="196" spans="1:10" x14ac:dyDescent="0.3">
      <c r="A196" t="s">
        <v>208</v>
      </c>
      <c r="B196" s="5">
        <v>4500000</v>
      </c>
      <c r="C196" t="s">
        <v>1588</v>
      </c>
      <c r="D196" t="s">
        <v>820</v>
      </c>
      <c r="E196" t="s">
        <v>677</v>
      </c>
      <c r="F196" t="s">
        <v>685</v>
      </c>
      <c r="G196">
        <v>2</v>
      </c>
      <c r="H196">
        <v>2</v>
      </c>
      <c r="I196">
        <v>3</v>
      </c>
      <c r="J196" t="s">
        <v>19</v>
      </c>
    </row>
    <row r="197" spans="1:10" x14ac:dyDescent="0.3">
      <c r="A197" t="s">
        <v>204</v>
      </c>
      <c r="B197" s="5">
        <v>6000000</v>
      </c>
      <c r="C197" t="s">
        <v>1587</v>
      </c>
      <c r="D197" t="s">
        <v>820</v>
      </c>
      <c r="E197" t="s">
        <v>677</v>
      </c>
      <c r="F197" t="s">
        <v>685</v>
      </c>
      <c r="G197">
        <v>4</v>
      </c>
      <c r="H197">
        <v>4</v>
      </c>
      <c r="I197">
        <v>4</v>
      </c>
      <c r="J197" t="s">
        <v>193</v>
      </c>
    </row>
    <row r="198" spans="1:10" x14ac:dyDescent="0.3">
      <c r="A198" t="s">
        <v>138</v>
      </c>
      <c r="B198" s="5">
        <v>3000000</v>
      </c>
      <c r="C198" t="s">
        <v>1588</v>
      </c>
      <c r="D198" t="s">
        <v>820</v>
      </c>
      <c r="E198" t="s">
        <v>677</v>
      </c>
      <c r="F198" t="s">
        <v>1428</v>
      </c>
      <c r="G198">
        <v>2</v>
      </c>
      <c r="H198">
        <v>2</v>
      </c>
      <c r="I198">
        <v>2</v>
      </c>
      <c r="J198" t="s">
        <v>19</v>
      </c>
    </row>
    <row r="199" spans="1:10" x14ac:dyDescent="0.3">
      <c r="A199" t="s">
        <v>1431</v>
      </c>
      <c r="B199" s="5">
        <v>5500000</v>
      </c>
      <c r="C199" t="s">
        <v>1587</v>
      </c>
      <c r="D199" t="s">
        <v>820</v>
      </c>
      <c r="E199" t="s">
        <v>677</v>
      </c>
      <c r="F199" t="s">
        <v>1432</v>
      </c>
      <c r="G199">
        <v>3</v>
      </c>
      <c r="H199">
        <v>3</v>
      </c>
      <c r="I199">
        <v>4</v>
      </c>
      <c r="J199" t="s">
        <v>19</v>
      </c>
    </row>
    <row r="200" spans="1:10" x14ac:dyDescent="0.3">
      <c r="A200" t="s">
        <v>1435</v>
      </c>
      <c r="B200" s="5">
        <v>4000000</v>
      </c>
      <c r="C200" t="s">
        <v>1588</v>
      </c>
      <c r="D200" t="s">
        <v>820</v>
      </c>
      <c r="E200" t="s">
        <v>677</v>
      </c>
      <c r="F200" t="s">
        <v>1428</v>
      </c>
      <c r="G200">
        <v>2</v>
      </c>
      <c r="H200">
        <v>2</v>
      </c>
      <c r="I200">
        <v>3</v>
      </c>
      <c r="J200" t="s">
        <v>19</v>
      </c>
    </row>
    <row r="201" spans="1:10" x14ac:dyDescent="0.3">
      <c r="A201" t="s">
        <v>1292</v>
      </c>
      <c r="B201" s="5">
        <v>1100000</v>
      </c>
      <c r="C201" t="s">
        <v>1588</v>
      </c>
      <c r="D201" t="s">
        <v>820</v>
      </c>
      <c r="E201" t="s">
        <v>677</v>
      </c>
      <c r="F201" t="s">
        <v>1438</v>
      </c>
      <c r="G201">
        <v>1</v>
      </c>
      <c r="H201">
        <v>1</v>
      </c>
      <c r="I201">
        <v>1</v>
      </c>
      <c r="J201" t="s">
        <v>19</v>
      </c>
    </row>
    <row r="202" spans="1:10" x14ac:dyDescent="0.3">
      <c r="A202" t="s">
        <v>227</v>
      </c>
      <c r="B202" s="5">
        <v>4000000</v>
      </c>
      <c r="C202" t="s">
        <v>1588</v>
      </c>
      <c r="D202" t="s">
        <v>820</v>
      </c>
      <c r="E202" t="s">
        <v>677</v>
      </c>
      <c r="F202" t="s">
        <v>719</v>
      </c>
      <c r="G202">
        <v>2</v>
      </c>
      <c r="H202">
        <v>2</v>
      </c>
      <c r="I202">
        <v>3</v>
      </c>
      <c r="J202" t="s">
        <v>19</v>
      </c>
    </row>
    <row r="203" spans="1:10" x14ac:dyDescent="0.3">
      <c r="A203" t="s">
        <v>138</v>
      </c>
      <c r="B203" s="5">
        <v>5000000</v>
      </c>
      <c r="C203" t="s">
        <v>1587</v>
      </c>
      <c r="D203" t="s">
        <v>820</v>
      </c>
      <c r="E203" t="s">
        <v>677</v>
      </c>
      <c r="F203" t="s">
        <v>1443</v>
      </c>
      <c r="G203">
        <v>2</v>
      </c>
      <c r="H203">
        <v>2</v>
      </c>
      <c r="I203">
        <v>3</v>
      </c>
      <c r="J203" t="s">
        <v>19</v>
      </c>
    </row>
    <row r="204" spans="1:10" x14ac:dyDescent="0.3">
      <c r="A204" t="s">
        <v>138</v>
      </c>
      <c r="B204" s="5">
        <v>4000000</v>
      </c>
      <c r="C204" t="s">
        <v>1588</v>
      </c>
      <c r="D204" t="s">
        <v>820</v>
      </c>
      <c r="E204" t="s">
        <v>677</v>
      </c>
      <c r="F204" t="s">
        <v>1428</v>
      </c>
      <c r="G204">
        <v>2</v>
      </c>
      <c r="H204">
        <v>2</v>
      </c>
      <c r="I204">
        <v>3</v>
      </c>
      <c r="J204" t="s">
        <v>19</v>
      </c>
    </row>
    <row r="205" spans="1:10" x14ac:dyDescent="0.3">
      <c r="A205" t="s">
        <v>138</v>
      </c>
      <c r="B205" s="5">
        <v>4500000</v>
      </c>
      <c r="C205" t="s">
        <v>1588</v>
      </c>
      <c r="D205" t="s">
        <v>820</v>
      </c>
      <c r="E205" t="s">
        <v>677</v>
      </c>
      <c r="F205" t="s">
        <v>1448</v>
      </c>
      <c r="G205">
        <v>2</v>
      </c>
      <c r="H205">
        <v>2</v>
      </c>
      <c r="I205">
        <v>2</v>
      </c>
      <c r="J205" t="s">
        <v>19</v>
      </c>
    </row>
    <row r="206" spans="1:10" x14ac:dyDescent="0.3">
      <c r="A206" t="s">
        <v>715</v>
      </c>
      <c r="B206" s="5">
        <v>4000000</v>
      </c>
      <c r="C206" t="s">
        <v>1588</v>
      </c>
      <c r="D206" t="s">
        <v>820</v>
      </c>
      <c r="E206" t="s">
        <v>677</v>
      </c>
      <c r="F206" t="s">
        <v>1451</v>
      </c>
      <c r="G206">
        <v>2</v>
      </c>
      <c r="H206">
        <v>2</v>
      </c>
      <c r="I206">
        <v>3</v>
      </c>
      <c r="J206" t="s">
        <v>19</v>
      </c>
    </row>
    <row r="207" spans="1:10" x14ac:dyDescent="0.3">
      <c r="A207" t="s">
        <v>15</v>
      </c>
      <c r="B207" s="5">
        <v>4500000</v>
      </c>
      <c r="C207" t="s">
        <v>1588</v>
      </c>
      <c r="D207" t="s">
        <v>820</v>
      </c>
      <c r="E207" t="s">
        <v>677</v>
      </c>
      <c r="F207" t="s">
        <v>1454</v>
      </c>
      <c r="G207">
        <v>3</v>
      </c>
      <c r="H207">
        <v>3</v>
      </c>
      <c r="I207">
        <v>4</v>
      </c>
      <c r="J207" t="s">
        <v>19</v>
      </c>
    </row>
    <row r="208" spans="1:10" x14ac:dyDescent="0.3">
      <c r="A208" t="s">
        <v>138</v>
      </c>
      <c r="B208" s="5">
        <v>3000000</v>
      </c>
      <c r="C208" t="s">
        <v>1588</v>
      </c>
      <c r="D208" t="s">
        <v>820</v>
      </c>
      <c r="E208" t="s">
        <v>677</v>
      </c>
      <c r="F208" t="s">
        <v>1432</v>
      </c>
      <c r="G208">
        <v>2</v>
      </c>
      <c r="H208">
        <v>2</v>
      </c>
      <c r="I208">
        <v>2</v>
      </c>
      <c r="J208" t="s">
        <v>19</v>
      </c>
    </row>
    <row r="209" spans="1:10" x14ac:dyDescent="0.3">
      <c r="A209" t="s">
        <v>1459</v>
      </c>
      <c r="B209" s="5">
        <v>4500000</v>
      </c>
      <c r="C209" t="s">
        <v>1588</v>
      </c>
      <c r="D209" t="s">
        <v>820</v>
      </c>
      <c r="E209" t="s">
        <v>677</v>
      </c>
      <c r="F209" t="s">
        <v>685</v>
      </c>
      <c r="G209">
        <v>3</v>
      </c>
      <c r="H209">
        <v>4</v>
      </c>
      <c r="I209">
        <v>4</v>
      </c>
      <c r="J209" t="s">
        <v>19</v>
      </c>
    </row>
    <row r="210" spans="1:10" x14ac:dyDescent="0.3">
      <c r="A210" t="s">
        <v>1462</v>
      </c>
      <c r="B210" s="5">
        <v>4000000</v>
      </c>
      <c r="C210" t="s">
        <v>1588</v>
      </c>
      <c r="D210" t="s">
        <v>820</v>
      </c>
      <c r="E210" t="s">
        <v>677</v>
      </c>
      <c r="F210" t="s">
        <v>1463</v>
      </c>
      <c r="G210">
        <v>2</v>
      </c>
      <c r="H210">
        <v>2</v>
      </c>
      <c r="I210">
        <v>2</v>
      </c>
      <c r="J210" t="s">
        <v>19</v>
      </c>
    </row>
    <row r="211" spans="1:10" x14ac:dyDescent="0.3">
      <c r="A211" t="s">
        <v>1466</v>
      </c>
      <c r="B211" s="5">
        <v>4500000</v>
      </c>
      <c r="C211" t="s">
        <v>1588</v>
      </c>
      <c r="D211" t="s">
        <v>820</v>
      </c>
      <c r="E211" t="s">
        <v>677</v>
      </c>
      <c r="F211" t="s">
        <v>1467</v>
      </c>
      <c r="G211">
        <v>2</v>
      </c>
      <c r="H211">
        <v>3</v>
      </c>
      <c r="I211">
        <v>3</v>
      </c>
      <c r="J211" t="s">
        <v>19</v>
      </c>
    </row>
    <row r="212" spans="1:10" x14ac:dyDescent="0.3">
      <c r="A212" t="s">
        <v>208</v>
      </c>
      <c r="B212" s="5">
        <v>3500000</v>
      </c>
      <c r="C212" t="s">
        <v>1588</v>
      </c>
      <c r="D212" t="s">
        <v>820</v>
      </c>
      <c r="E212" t="s">
        <v>677</v>
      </c>
      <c r="F212" t="s">
        <v>685</v>
      </c>
      <c r="G212">
        <v>2</v>
      </c>
      <c r="H212">
        <v>3</v>
      </c>
      <c r="I212">
        <v>3</v>
      </c>
      <c r="J212" t="s">
        <v>19</v>
      </c>
    </row>
    <row r="213" spans="1:10" x14ac:dyDescent="0.3">
      <c r="A213" t="s">
        <v>80</v>
      </c>
      <c r="B213" s="5">
        <v>20000000</v>
      </c>
      <c r="C213" t="s">
        <v>1586</v>
      </c>
      <c r="D213" t="s">
        <v>820</v>
      </c>
      <c r="E213" t="s">
        <v>677</v>
      </c>
      <c r="F213" t="s">
        <v>685</v>
      </c>
      <c r="G213">
        <v>5</v>
      </c>
      <c r="H213">
        <v>6</v>
      </c>
      <c r="I213">
        <v>6</v>
      </c>
      <c r="J213" t="s">
        <v>38</v>
      </c>
    </row>
    <row r="214" spans="1:10" x14ac:dyDescent="0.3">
      <c r="A214" t="s">
        <v>1474</v>
      </c>
      <c r="B214" s="5">
        <v>20000000</v>
      </c>
      <c r="C214" t="s">
        <v>1586</v>
      </c>
      <c r="D214" t="s">
        <v>820</v>
      </c>
      <c r="E214" t="s">
        <v>677</v>
      </c>
      <c r="F214" t="s">
        <v>685</v>
      </c>
      <c r="G214">
        <v>5</v>
      </c>
      <c r="H214">
        <v>6</v>
      </c>
      <c r="I214">
        <v>6</v>
      </c>
      <c r="J214" t="s">
        <v>29</v>
      </c>
    </row>
    <row r="215" spans="1:10" x14ac:dyDescent="0.3">
      <c r="A215" t="s">
        <v>1477</v>
      </c>
      <c r="B215" s="5">
        <v>20000000</v>
      </c>
      <c r="C215" t="s">
        <v>1586</v>
      </c>
      <c r="D215" t="s">
        <v>820</v>
      </c>
      <c r="E215" t="s">
        <v>733</v>
      </c>
      <c r="F215" t="s">
        <v>1478</v>
      </c>
      <c r="G215">
        <v>4</v>
      </c>
      <c r="H215">
        <v>4</v>
      </c>
      <c r="I215">
        <v>5</v>
      </c>
      <c r="J215" t="s">
        <v>38</v>
      </c>
    </row>
    <row r="216" spans="1:10" x14ac:dyDescent="0.3">
      <c r="A216" t="s">
        <v>1481</v>
      </c>
      <c r="B216" s="5">
        <v>25000000</v>
      </c>
      <c r="C216" t="s">
        <v>1586</v>
      </c>
      <c r="D216" t="s">
        <v>820</v>
      </c>
      <c r="E216" t="s">
        <v>733</v>
      </c>
      <c r="F216" t="s">
        <v>1482</v>
      </c>
      <c r="G216">
        <v>4</v>
      </c>
      <c r="H216">
        <v>5</v>
      </c>
      <c r="I216">
        <v>5</v>
      </c>
      <c r="J216" t="s">
        <v>29</v>
      </c>
    </row>
    <row r="217" spans="1:10" x14ac:dyDescent="0.3">
      <c r="A217" t="s">
        <v>1485</v>
      </c>
      <c r="B217" s="5">
        <v>30000000</v>
      </c>
      <c r="C217" t="s">
        <v>1586</v>
      </c>
      <c r="D217" t="s">
        <v>820</v>
      </c>
      <c r="E217" t="s">
        <v>733</v>
      </c>
      <c r="F217" t="s">
        <v>1482</v>
      </c>
      <c r="G217">
        <v>4</v>
      </c>
      <c r="H217">
        <v>5</v>
      </c>
      <c r="I217">
        <v>5</v>
      </c>
      <c r="J217" t="s">
        <v>29</v>
      </c>
    </row>
    <row r="218" spans="1:10" x14ac:dyDescent="0.3">
      <c r="A218" t="s">
        <v>1481</v>
      </c>
      <c r="B218" s="5">
        <v>25000000</v>
      </c>
      <c r="C218" t="s">
        <v>1586</v>
      </c>
      <c r="D218" t="s">
        <v>820</v>
      </c>
      <c r="E218" t="s">
        <v>733</v>
      </c>
      <c r="F218" t="s">
        <v>1482</v>
      </c>
      <c r="G218">
        <v>4</v>
      </c>
      <c r="H218">
        <v>5</v>
      </c>
      <c r="I218">
        <v>5</v>
      </c>
      <c r="J218" t="s">
        <v>29</v>
      </c>
    </row>
    <row r="219" spans="1:10" x14ac:dyDescent="0.3">
      <c r="A219" t="s">
        <v>199</v>
      </c>
      <c r="B219" s="5">
        <v>10000000</v>
      </c>
      <c r="C219" t="s">
        <v>1587</v>
      </c>
      <c r="D219" t="s">
        <v>820</v>
      </c>
      <c r="E219" t="s">
        <v>733</v>
      </c>
      <c r="F219" t="s">
        <v>1490</v>
      </c>
      <c r="G219">
        <v>3</v>
      </c>
      <c r="H219">
        <v>3</v>
      </c>
      <c r="I219">
        <v>4</v>
      </c>
      <c r="J219" t="s">
        <v>19</v>
      </c>
    </row>
    <row r="220" spans="1:10" x14ac:dyDescent="0.3">
      <c r="A220" t="s">
        <v>138</v>
      </c>
      <c r="B220" s="5">
        <v>5000000</v>
      </c>
      <c r="C220" t="s">
        <v>1587</v>
      </c>
      <c r="D220" t="s">
        <v>820</v>
      </c>
      <c r="E220" t="s">
        <v>733</v>
      </c>
      <c r="F220" t="s">
        <v>1493</v>
      </c>
      <c r="G220">
        <v>2</v>
      </c>
      <c r="H220">
        <v>2</v>
      </c>
      <c r="I220">
        <v>2</v>
      </c>
      <c r="J220" t="s">
        <v>19</v>
      </c>
    </row>
    <row r="221" spans="1:10" x14ac:dyDescent="0.3">
      <c r="A221" t="s">
        <v>77</v>
      </c>
      <c r="B221" s="5">
        <v>17000000</v>
      </c>
      <c r="C221" t="s">
        <v>1586</v>
      </c>
      <c r="D221" t="s">
        <v>820</v>
      </c>
      <c r="E221" t="s">
        <v>733</v>
      </c>
      <c r="F221" t="s">
        <v>734</v>
      </c>
      <c r="G221">
        <v>4</v>
      </c>
      <c r="H221">
        <v>4</v>
      </c>
      <c r="I221">
        <v>5</v>
      </c>
      <c r="J221" t="s">
        <v>29</v>
      </c>
    </row>
    <row r="222" spans="1:10" x14ac:dyDescent="0.3">
      <c r="A222" t="s">
        <v>73</v>
      </c>
      <c r="B222" s="5">
        <v>12000000</v>
      </c>
      <c r="C222" t="s">
        <v>1587</v>
      </c>
      <c r="D222" t="s">
        <v>820</v>
      </c>
      <c r="E222" t="s">
        <v>733</v>
      </c>
      <c r="F222" t="s">
        <v>734</v>
      </c>
      <c r="G222">
        <v>4</v>
      </c>
      <c r="H222">
        <v>4</v>
      </c>
      <c r="I222">
        <v>5</v>
      </c>
      <c r="J222" t="s">
        <v>38</v>
      </c>
    </row>
    <row r="223" spans="1:10" x14ac:dyDescent="0.3">
      <c r="A223" t="s">
        <v>99</v>
      </c>
      <c r="B223" s="5">
        <v>16000000</v>
      </c>
      <c r="C223" t="s">
        <v>1586</v>
      </c>
      <c r="D223" t="s">
        <v>820</v>
      </c>
      <c r="E223" t="s">
        <v>733</v>
      </c>
      <c r="F223" t="s">
        <v>1500</v>
      </c>
      <c r="G223">
        <v>4</v>
      </c>
      <c r="H223">
        <v>5</v>
      </c>
      <c r="I223">
        <v>6</v>
      </c>
      <c r="J223" t="s">
        <v>38</v>
      </c>
    </row>
    <row r="224" spans="1:10" x14ac:dyDescent="0.3">
      <c r="A224" t="s">
        <v>73</v>
      </c>
      <c r="B224" s="5">
        <v>15000000</v>
      </c>
      <c r="C224" t="s">
        <v>1586</v>
      </c>
      <c r="D224" t="s">
        <v>820</v>
      </c>
      <c r="E224" t="s">
        <v>733</v>
      </c>
      <c r="F224" t="s">
        <v>1500</v>
      </c>
      <c r="G224">
        <v>4</v>
      </c>
      <c r="H224">
        <v>5</v>
      </c>
      <c r="I224">
        <v>6</v>
      </c>
      <c r="J224" t="s">
        <v>38</v>
      </c>
    </row>
    <row r="225" spans="1:10" x14ac:dyDescent="0.3">
      <c r="A225" t="s">
        <v>199</v>
      </c>
      <c r="B225" s="5">
        <v>10000000</v>
      </c>
      <c r="C225" t="s">
        <v>1587</v>
      </c>
      <c r="D225" t="s">
        <v>820</v>
      </c>
      <c r="E225" t="s">
        <v>733</v>
      </c>
      <c r="F225" t="s">
        <v>1500</v>
      </c>
      <c r="G225">
        <v>3</v>
      </c>
      <c r="H225">
        <v>4</v>
      </c>
      <c r="I225">
        <v>4</v>
      </c>
      <c r="J225" t="s">
        <v>19</v>
      </c>
    </row>
    <row r="226" spans="1:10" x14ac:dyDescent="0.3">
      <c r="A226" t="s">
        <v>1507</v>
      </c>
      <c r="B226" s="5">
        <v>40000000</v>
      </c>
      <c r="C226" t="s">
        <v>1585</v>
      </c>
      <c r="D226" t="s">
        <v>820</v>
      </c>
      <c r="E226" t="s">
        <v>733</v>
      </c>
      <c r="F226" t="s">
        <v>1500</v>
      </c>
      <c r="G226">
        <v>4</v>
      </c>
      <c r="H226">
        <v>5</v>
      </c>
      <c r="I226">
        <v>5</v>
      </c>
      <c r="J226" t="s">
        <v>38</v>
      </c>
    </row>
    <row r="227" spans="1:10" x14ac:dyDescent="0.3">
      <c r="A227" t="s">
        <v>380</v>
      </c>
      <c r="B227" s="5">
        <v>15000000</v>
      </c>
      <c r="C227" t="s">
        <v>1586</v>
      </c>
      <c r="D227" t="s">
        <v>820</v>
      </c>
      <c r="E227" t="s">
        <v>733</v>
      </c>
      <c r="F227" t="s">
        <v>1510</v>
      </c>
      <c r="G227">
        <v>4</v>
      </c>
      <c r="H227">
        <v>5</v>
      </c>
      <c r="I227">
        <v>5</v>
      </c>
      <c r="J227" t="s">
        <v>29</v>
      </c>
    </row>
    <row r="228" spans="1:10" x14ac:dyDescent="0.3">
      <c r="A228" t="s">
        <v>1513</v>
      </c>
      <c r="B228" s="5">
        <v>35000000</v>
      </c>
      <c r="C228" t="s">
        <v>1586</v>
      </c>
      <c r="D228" t="s">
        <v>820</v>
      </c>
      <c r="E228" t="s">
        <v>733</v>
      </c>
      <c r="F228" t="s">
        <v>1500</v>
      </c>
      <c r="G228">
        <v>4</v>
      </c>
      <c r="H228">
        <v>5</v>
      </c>
      <c r="I228">
        <v>5</v>
      </c>
      <c r="J228" t="s">
        <v>29</v>
      </c>
    </row>
    <row r="229" spans="1:10" x14ac:dyDescent="0.3">
      <c r="A229" t="s">
        <v>1516</v>
      </c>
      <c r="B229" s="5">
        <v>15000000</v>
      </c>
      <c r="C229" t="s">
        <v>1586</v>
      </c>
      <c r="D229" t="s">
        <v>820</v>
      </c>
      <c r="E229" t="s">
        <v>733</v>
      </c>
      <c r="F229" t="s">
        <v>1493</v>
      </c>
      <c r="G229">
        <v>4</v>
      </c>
      <c r="H229">
        <v>4</v>
      </c>
      <c r="I229">
        <v>4</v>
      </c>
      <c r="J229" t="s">
        <v>29</v>
      </c>
    </row>
    <row r="230" spans="1:10" x14ac:dyDescent="0.3">
      <c r="A230" t="s">
        <v>227</v>
      </c>
      <c r="B230" s="5">
        <v>7000000</v>
      </c>
      <c r="C230" t="s">
        <v>1587</v>
      </c>
      <c r="D230" t="s">
        <v>820</v>
      </c>
      <c r="E230" t="s">
        <v>733</v>
      </c>
      <c r="F230" t="s">
        <v>1519</v>
      </c>
      <c r="G230">
        <v>2</v>
      </c>
      <c r="H230">
        <v>2</v>
      </c>
      <c r="I230">
        <v>2</v>
      </c>
      <c r="J230" t="s">
        <v>19</v>
      </c>
    </row>
    <row r="231" spans="1:10" x14ac:dyDescent="0.3">
      <c r="A231" t="s">
        <v>1522</v>
      </c>
      <c r="B231" s="5">
        <v>20000000</v>
      </c>
      <c r="C231" t="s">
        <v>1586</v>
      </c>
      <c r="D231" t="s">
        <v>820</v>
      </c>
      <c r="E231" t="s">
        <v>733</v>
      </c>
      <c r="F231" t="s">
        <v>1493</v>
      </c>
      <c r="G231">
        <v>4</v>
      </c>
      <c r="H231">
        <v>4</v>
      </c>
      <c r="I231">
        <v>4</v>
      </c>
      <c r="J231" t="s">
        <v>29</v>
      </c>
    </row>
    <row r="232" spans="1:10" x14ac:dyDescent="0.3">
      <c r="A232" t="s">
        <v>1525</v>
      </c>
      <c r="B232" s="5">
        <v>19000000</v>
      </c>
      <c r="C232" t="s">
        <v>1586</v>
      </c>
      <c r="D232" t="s">
        <v>820</v>
      </c>
      <c r="E232" t="s">
        <v>733</v>
      </c>
      <c r="F232" t="s">
        <v>1493</v>
      </c>
      <c r="G232">
        <v>4</v>
      </c>
      <c r="H232">
        <v>4</v>
      </c>
      <c r="I232">
        <v>4</v>
      </c>
      <c r="J232" t="s">
        <v>29</v>
      </c>
    </row>
    <row r="233" spans="1:10" x14ac:dyDescent="0.3">
      <c r="A233" t="s">
        <v>1528</v>
      </c>
      <c r="B233" s="5">
        <v>15000000</v>
      </c>
      <c r="C233" t="s">
        <v>1586</v>
      </c>
      <c r="D233" t="s">
        <v>820</v>
      </c>
      <c r="E233" t="s">
        <v>733</v>
      </c>
      <c r="F233" t="s">
        <v>1493</v>
      </c>
      <c r="G233">
        <v>4</v>
      </c>
      <c r="H233">
        <v>4</v>
      </c>
      <c r="I233">
        <v>4</v>
      </c>
      <c r="J233" t="s">
        <v>29</v>
      </c>
    </row>
    <row r="234" spans="1:10" x14ac:dyDescent="0.3">
      <c r="A234" t="s">
        <v>1531</v>
      </c>
      <c r="B234" s="5">
        <v>30000000</v>
      </c>
      <c r="C234" t="s">
        <v>1586</v>
      </c>
      <c r="D234" t="s">
        <v>820</v>
      </c>
      <c r="E234" t="s">
        <v>733</v>
      </c>
      <c r="F234" t="s">
        <v>1493</v>
      </c>
      <c r="G234">
        <v>4</v>
      </c>
      <c r="H234">
        <v>4</v>
      </c>
      <c r="I234">
        <v>4</v>
      </c>
      <c r="J234" t="s">
        <v>70</v>
      </c>
    </row>
    <row r="235" spans="1:10" x14ac:dyDescent="0.3">
      <c r="A235" t="s">
        <v>1534</v>
      </c>
      <c r="B235" s="5">
        <v>10000000</v>
      </c>
      <c r="C235" t="s">
        <v>1587</v>
      </c>
      <c r="D235" t="s">
        <v>820</v>
      </c>
      <c r="E235" t="s">
        <v>733</v>
      </c>
      <c r="F235" t="s">
        <v>1493</v>
      </c>
      <c r="G235">
        <v>3</v>
      </c>
      <c r="H235">
        <v>3</v>
      </c>
      <c r="I235">
        <v>3</v>
      </c>
      <c r="J235" t="s">
        <v>19</v>
      </c>
    </row>
    <row r="236" spans="1:10" x14ac:dyDescent="0.3">
      <c r="A236" t="s">
        <v>1537</v>
      </c>
      <c r="B236" s="5">
        <v>15000000</v>
      </c>
      <c r="C236" t="s">
        <v>1586</v>
      </c>
      <c r="D236" t="s">
        <v>820</v>
      </c>
      <c r="E236" t="s">
        <v>783</v>
      </c>
      <c r="F236" t="s">
        <v>1538</v>
      </c>
      <c r="G236">
        <v>2</v>
      </c>
      <c r="H236">
        <v>2</v>
      </c>
      <c r="I236">
        <v>3</v>
      </c>
      <c r="J236" t="s">
        <v>19</v>
      </c>
    </row>
    <row r="237" spans="1:10" x14ac:dyDescent="0.3">
      <c r="A237" t="s">
        <v>1541</v>
      </c>
      <c r="B237" s="5">
        <v>10000000</v>
      </c>
      <c r="C237" t="s">
        <v>1587</v>
      </c>
      <c r="D237" t="s">
        <v>820</v>
      </c>
      <c r="E237" t="s">
        <v>783</v>
      </c>
      <c r="F237" t="s">
        <v>1542</v>
      </c>
      <c r="G237">
        <v>2</v>
      </c>
      <c r="H237">
        <v>2</v>
      </c>
      <c r="I237">
        <v>3</v>
      </c>
      <c r="J237" t="s">
        <v>19</v>
      </c>
    </row>
    <row r="238" spans="1:10" x14ac:dyDescent="0.3">
      <c r="A238" t="s">
        <v>1545</v>
      </c>
      <c r="B238" s="5">
        <v>13000000</v>
      </c>
      <c r="C238" t="s">
        <v>1587</v>
      </c>
      <c r="D238" t="s">
        <v>820</v>
      </c>
      <c r="E238" t="s">
        <v>783</v>
      </c>
      <c r="F238" t="s">
        <v>1542</v>
      </c>
      <c r="G238">
        <v>4</v>
      </c>
      <c r="H238">
        <v>4</v>
      </c>
      <c r="I238">
        <v>5</v>
      </c>
      <c r="J238" t="s">
        <v>70</v>
      </c>
    </row>
    <row r="239" spans="1:10" x14ac:dyDescent="0.3">
      <c r="A239" t="s">
        <v>1548</v>
      </c>
      <c r="B239" s="5">
        <v>8000000</v>
      </c>
      <c r="C239" t="s">
        <v>1587</v>
      </c>
      <c r="D239" t="s">
        <v>820</v>
      </c>
      <c r="E239" t="s">
        <v>783</v>
      </c>
      <c r="F239" t="s">
        <v>784</v>
      </c>
      <c r="G239">
        <v>2</v>
      </c>
      <c r="H239">
        <v>3</v>
      </c>
      <c r="I239">
        <v>3</v>
      </c>
      <c r="J239" t="s">
        <v>19</v>
      </c>
    </row>
    <row r="240" spans="1:10" x14ac:dyDescent="0.3">
      <c r="A240" t="s">
        <v>1548</v>
      </c>
      <c r="B240" s="5">
        <v>8000000</v>
      </c>
      <c r="C240" t="s">
        <v>1587</v>
      </c>
      <c r="D240" t="s">
        <v>820</v>
      </c>
      <c r="E240" t="s">
        <v>783</v>
      </c>
      <c r="F240" t="s">
        <v>784</v>
      </c>
      <c r="G240">
        <v>2</v>
      </c>
      <c r="H240">
        <v>3</v>
      </c>
      <c r="I240">
        <v>3</v>
      </c>
      <c r="J240" t="s">
        <v>19</v>
      </c>
    </row>
    <row r="241" spans="1:10" x14ac:dyDescent="0.3">
      <c r="A241" t="s">
        <v>1292</v>
      </c>
      <c r="B241" s="5">
        <v>2300000</v>
      </c>
      <c r="C241" t="s">
        <v>1588</v>
      </c>
      <c r="D241" t="s">
        <v>820</v>
      </c>
      <c r="E241" t="s">
        <v>783</v>
      </c>
      <c r="F241" t="s">
        <v>792</v>
      </c>
      <c r="G241">
        <v>1</v>
      </c>
      <c r="H241">
        <v>1</v>
      </c>
      <c r="I241">
        <v>1</v>
      </c>
      <c r="J241" t="s">
        <v>19</v>
      </c>
    </row>
    <row r="242" spans="1:10" x14ac:dyDescent="0.3">
      <c r="A242" t="s">
        <v>1555</v>
      </c>
      <c r="B242" s="5">
        <v>12000000</v>
      </c>
      <c r="C242" t="s">
        <v>1587</v>
      </c>
      <c r="D242" t="s">
        <v>820</v>
      </c>
      <c r="E242" t="s">
        <v>783</v>
      </c>
      <c r="F242" t="s">
        <v>1556</v>
      </c>
      <c r="G242">
        <v>4</v>
      </c>
      <c r="H242">
        <v>4</v>
      </c>
      <c r="I242">
        <v>5</v>
      </c>
      <c r="J242" t="s">
        <v>38</v>
      </c>
    </row>
    <row r="243" spans="1:10" x14ac:dyDescent="0.3">
      <c r="A243" t="s">
        <v>1296</v>
      </c>
      <c r="B243" s="5">
        <v>12000000</v>
      </c>
      <c r="C243" t="s">
        <v>1587</v>
      </c>
      <c r="D243" t="s">
        <v>820</v>
      </c>
      <c r="E243" t="s">
        <v>783</v>
      </c>
      <c r="F243" t="s">
        <v>784</v>
      </c>
      <c r="G243">
        <v>3</v>
      </c>
      <c r="H243">
        <v>3</v>
      </c>
      <c r="I243">
        <v>4</v>
      </c>
      <c r="J243" t="s">
        <v>29</v>
      </c>
    </row>
    <row r="244" spans="1:10" x14ac:dyDescent="0.3">
      <c r="A244" t="s">
        <v>15</v>
      </c>
      <c r="B244" s="5">
        <v>6000000</v>
      </c>
      <c r="C244" t="s">
        <v>1587</v>
      </c>
      <c r="D244" t="s">
        <v>820</v>
      </c>
      <c r="E244" t="s">
        <v>783</v>
      </c>
      <c r="F244" t="s">
        <v>784</v>
      </c>
      <c r="G244">
        <v>3</v>
      </c>
      <c r="H244">
        <v>4</v>
      </c>
      <c r="I244">
        <v>4</v>
      </c>
      <c r="J244" t="s">
        <v>19</v>
      </c>
    </row>
    <row r="245" spans="1:10" x14ac:dyDescent="0.3">
      <c r="A245" t="s">
        <v>1296</v>
      </c>
      <c r="B245" s="5">
        <v>12000000</v>
      </c>
      <c r="C245" t="s">
        <v>1587</v>
      </c>
      <c r="D245" t="s">
        <v>820</v>
      </c>
      <c r="E245" t="s">
        <v>783</v>
      </c>
      <c r="F245" t="s">
        <v>784</v>
      </c>
      <c r="G245">
        <v>3</v>
      </c>
      <c r="H245">
        <v>3</v>
      </c>
      <c r="I245">
        <v>3</v>
      </c>
      <c r="J245" t="s">
        <v>29</v>
      </c>
    </row>
    <row r="246" spans="1:10" x14ac:dyDescent="0.3">
      <c r="A246" t="s">
        <v>1565</v>
      </c>
      <c r="B246" s="5">
        <v>12000000</v>
      </c>
      <c r="C246" t="s">
        <v>1587</v>
      </c>
      <c r="D246" t="s">
        <v>820</v>
      </c>
      <c r="E246" t="s">
        <v>783</v>
      </c>
      <c r="F246" t="s">
        <v>1566</v>
      </c>
      <c r="G246">
        <v>4</v>
      </c>
      <c r="H246">
        <v>4</v>
      </c>
      <c r="I246">
        <v>5</v>
      </c>
      <c r="J246" t="s">
        <v>38</v>
      </c>
    </row>
    <row r="247" spans="1:10" x14ac:dyDescent="0.3">
      <c r="A247" t="s">
        <v>15</v>
      </c>
      <c r="B247" s="5">
        <v>6000000</v>
      </c>
      <c r="C247" t="s">
        <v>1587</v>
      </c>
      <c r="D247" t="s">
        <v>820</v>
      </c>
      <c r="E247" t="s">
        <v>783</v>
      </c>
      <c r="F247" t="s">
        <v>784</v>
      </c>
      <c r="G247">
        <v>3</v>
      </c>
      <c r="H247">
        <v>3</v>
      </c>
      <c r="I247">
        <v>3</v>
      </c>
      <c r="J247" t="s">
        <v>19</v>
      </c>
    </row>
    <row r="248" spans="1:10" x14ac:dyDescent="0.3">
      <c r="A248" t="s">
        <v>1571</v>
      </c>
      <c r="B248" s="5">
        <v>12000000</v>
      </c>
      <c r="C248" t="s">
        <v>1587</v>
      </c>
      <c r="D248" t="s">
        <v>820</v>
      </c>
      <c r="E248" t="s">
        <v>783</v>
      </c>
      <c r="F248" t="s">
        <v>1556</v>
      </c>
      <c r="G248">
        <v>4</v>
      </c>
      <c r="H248">
        <v>4</v>
      </c>
      <c r="I248">
        <v>5</v>
      </c>
      <c r="J248" t="s">
        <v>38</v>
      </c>
    </row>
    <row r="249" spans="1:10" x14ac:dyDescent="0.3">
      <c r="A249" t="s">
        <v>1574</v>
      </c>
      <c r="B249" s="5">
        <v>2000000</v>
      </c>
      <c r="C249" t="s">
        <v>1588</v>
      </c>
      <c r="D249" t="s">
        <v>820</v>
      </c>
      <c r="E249" t="s">
        <v>783</v>
      </c>
      <c r="F249" t="s">
        <v>784</v>
      </c>
      <c r="G249">
        <v>1</v>
      </c>
      <c r="H249">
        <v>1</v>
      </c>
      <c r="I249">
        <v>1</v>
      </c>
      <c r="J249" t="s">
        <v>19</v>
      </c>
    </row>
    <row r="250" spans="1:10" x14ac:dyDescent="0.3">
      <c r="A250" t="s">
        <v>1577</v>
      </c>
      <c r="B250" s="5">
        <v>18000000</v>
      </c>
      <c r="C250" t="s">
        <v>1586</v>
      </c>
      <c r="D250" t="s">
        <v>820</v>
      </c>
      <c r="E250" t="s">
        <v>783</v>
      </c>
      <c r="F250" t="s">
        <v>1578</v>
      </c>
      <c r="G250">
        <v>4</v>
      </c>
      <c r="H250">
        <v>4</v>
      </c>
      <c r="I250">
        <v>5</v>
      </c>
      <c r="J250" t="s">
        <v>29</v>
      </c>
    </row>
    <row r="251" spans="1:10" x14ac:dyDescent="0.3">
      <c r="A251" t="s">
        <v>1581</v>
      </c>
      <c r="B251" s="5">
        <v>10000000</v>
      </c>
      <c r="C251" t="s">
        <v>1587</v>
      </c>
      <c r="D251" t="s">
        <v>820</v>
      </c>
      <c r="E251" t="s">
        <v>783</v>
      </c>
      <c r="F251" t="s">
        <v>1538</v>
      </c>
      <c r="G251">
        <v>3</v>
      </c>
      <c r="H251">
        <v>4</v>
      </c>
      <c r="I251">
        <v>4</v>
      </c>
      <c r="J251" t="s">
        <v>70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AE148-1F77-48D7-9FC0-D252E969FF91}">
  <sheetPr codeName="Sheet4">
    <tabColor theme="0" tint="-0.34998626667073579"/>
  </sheetPr>
  <dimension ref="A1:J485"/>
  <sheetViews>
    <sheetView workbookViewId="0">
      <selection activeCell="B18" sqref="B18:B32"/>
    </sheetView>
  </sheetViews>
  <sheetFormatPr defaultRowHeight="14.4" x14ac:dyDescent="0.3"/>
  <cols>
    <col min="1" max="1" width="50.21875" bestFit="1" customWidth="1"/>
    <col min="2" max="2" width="22.77734375" customWidth="1"/>
    <col min="3" max="3" width="29.77734375" customWidth="1"/>
    <col min="4" max="4" width="12.5546875" customWidth="1"/>
    <col min="5" max="5" width="11.109375" bestFit="1" customWidth="1"/>
    <col min="6" max="6" width="58.44140625" customWidth="1"/>
    <col min="7" max="7" width="11.44140625" customWidth="1"/>
    <col min="8" max="8" width="12.109375" customWidth="1"/>
    <col min="9" max="9" width="8" customWidth="1"/>
    <col min="10" max="10" width="19.5546875" bestFit="1" customWidth="1"/>
  </cols>
  <sheetData>
    <row r="1" spans="1:10" x14ac:dyDescent="0.3">
      <c r="A1" t="s">
        <v>0</v>
      </c>
      <c r="B1" t="s">
        <v>1</v>
      </c>
      <c r="C1" t="s">
        <v>1584</v>
      </c>
      <c r="D1" t="s">
        <v>2</v>
      </c>
      <c r="E1" t="s">
        <v>3</v>
      </c>
      <c r="F1" t="s">
        <v>5</v>
      </c>
      <c r="G1" t="s">
        <v>6</v>
      </c>
      <c r="H1" t="s">
        <v>7</v>
      </c>
      <c r="I1" t="s">
        <v>8</v>
      </c>
      <c r="J1" t="s">
        <v>9</v>
      </c>
    </row>
    <row r="2" spans="1:10" hidden="1" x14ac:dyDescent="0.3">
      <c r="A2" t="s">
        <v>15</v>
      </c>
      <c r="B2" s="5">
        <v>750000000</v>
      </c>
      <c r="C2" t="s">
        <v>1589</v>
      </c>
      <c r="D2" t="s">
        <v>16</v>
      </c>
      <c r="E2" t="s">
        <v>17</v>
      </c>
      <c r="F2" t="s">
        <v>18</v>
      </c>
      <c r="G2">
        <v>3</v>
      </c>
      <c r="H2">
        <v>3</v>
      </c>
      <c r="I2">
        <v>4</v>
      </c>
      <c r="J2" t="s">
        <v>19</v>
      </c>
    </row>
    <row r="3" spans="1:10" hidden="1" x14ac:dyDescent="0.3">
      <c r="A3" t="s">
        <v>23</v>
      </c>
      <c r="B3" s="5">
        <v>2000000000</v>
      </c>
      <c r="C3" t="s">
        <v>1589</v>
      </c>
      <c r="D3" t="s">
        <v>16</v>
      </c>
      <c r="E3" t="s">
        <v>17</v>
      </c>
      <c r="F3" t="s">
        <v>24</v>
      </c>
      <c r="G3">
        <v>5</v>
      </c>
      <c r="H3">
        <v>5</v>
      </c>
      <c r="I3">
        <v>6</v>
      </c>
      <c r="J3" t="s">
        <v>19</v>
      </c>
    </row>
    <row r="4" spans="1:10" hidden="1" x14ac:dyDescent="0.3">
      <c r="A4" t="s">
        <v>27</v>
      </c>
      <c r="B4" s="5">
        <v>900000000</v>
      </c>
      <c r="C4" t="s">
        <v>1589</v>
      </c>
      <c r="D4" t="s">
        <v>16</v>
      </c>
      <c r="E4" t="s">
        <v>17</v>
      </c>
      <c r="F4" t="s">
        <v>28</v>
      </c>
      <c r="G4">
        <v>4</v>
      </c>
      <c r="H4">
        <v>4</v>
      </c>
      <c r="I4">
        <v>5</v>
      </c>
      <c r="J4" t="s">
        <v>29</v>
      </c>
    </row>
    <row r="5" spans="1:10" hidden="1" x14ac:dyDescent="0.3">
      <c r="A5" t="s">
        <v>32</v>
      </c>
      <c r="B5" s="5">
        <v>600000000</v>
      </c>
      <c r="C5" t="s">
        <v>1590</v>
      </c>
      <c r="D5" t="s">
        <v>16</v>
      </c>
      <c r="E5" t="s">
        <v>17</v>
      </c>
      <c r="F5" t="s">
        <v>33</v>
      </c>
      <c r="G5">
        <v>5</v>
      </c>
      <c r="H5">
        <v>5</v>
      </c>
      <c r="I5">
        <v>6</v>
      </c>
      <c r="J5" t="s">
        <v>19</v>
      </c>
    </row>
    <row r="6" spans="1:10" hidden="1" x14ac:dyDescent="0.3">
      <c r="A6" t="s">
        <v>36</v>
      </c>
      <c r="B6" s="5">
        <v>750000000</v>
      </c>
      <c r="C6" t="s">
        <v>1589</v>
      </c>
      <c r="D6" t="s">
        <v>16</v>
      </c>
      <c r="E6" t="s">
        <v>17</v>
      </c>
      <c r="F6" t="s">
        <v>37</v>
      </c>
      <c r="G6">
        <v>4</v>
      </c>
      <c r="H6">
        <v>4</v>
      </c>
      <c r="I6">
        <v>5</v>
      </c>
      <c r="J6" t="s">
        <v>38</v>
      </c>
    </row>
    <row r="7" spans="1:10" hidden="1" x14ac:dyDescent="0.3">
      <c r="A7" t="s">
        <v>41</v>
      </c>
      <c r="B7" s="5">
        <v>750000000</v>
      </c>
      <c r="C7" t="s">
        <v>1589</v>
      </c>
      <c r="D7" t="s">
        <v>16</v>
      </c>
      <c r="E7" t="s">
        <v>42</v>
      </c>
      <c r="F7" t="s">
        <v>43</v>
      </c>
      <c r="G7">
        <v>5</v>
      </c>
      <c r="H7">
        <v>5</v>
      </c>
      <c r="I7">
        <v>6</v>
      </c>
      <c r="J7" t="s">
        <v>38</v>
      </c>
    </row>
    <row r="8" spans="1:10" hidden="1" x14ac:dyDescent="0.3">
      <c r="A8" t="s">
        <v>46</v>
      </c>
      <c r="B8" s="5">
        <v>4000000000</v>
      </c>
      <c r="C8" t="s">
        <v>1589</v>
      </c>
      <c r="D8" t="s">
        <v>16</v>
      </c>
      <c r="E8" t="s">
        <v>42</v>
      </c>
      <c r="F8" t="s">
        <v>47</v>
      </c>
      <c r="G8">
        <v>10</v>
      </c>
      <c r="H8">
        <v>10</v>
      </c>
      <c r="I8">
        <v>10</v>
      </c>
      <c r="J8" t="s">
        <v>48</v>
      </c>
    </row>
    <row r="9" spans="1:10" hidden="1" x14ac:dyDescent="0.3">
      <c r="A9" t="s">
        <v>51</v>
      </c>
      <c r="B9" s="5">
        <v>2500000000</v>
      </c>
      <c r="C9" t="s">
        <v>1589</v>
      </c>
      <c r="D9" t="s">
        <v>16</v>
      </c>
      <c r="E9" t="s">
        <v>42</v>
      </c>
      <c r="F9" t="s">
        <v>52</v>
      </c>
      <c r="G9">
        <v>8</v>
      </c>
      <c r="H9">
        <v>10</v>
      </c>
      <c r="I9">
        <v>10</v>
      </c>
      <c r="J9" t="s">
        <v>38</v>
      </c>
    </row>
    <row r="10" spans="1:10" hidden="1" x14ac:dyDescent="0.3">
      <c r="A10" t="s">
        <v>55</v>
      </c>
      <c r="B10" s="5">
        <v>1100000000</v>
      </c>
      <c r="C10" t="s">
        <v>1589</v>
      </c>
      <c r="D10" t="s">
        <v>16</v>
      </c>
      <c r="E10" t="s">
        <v>42</v>
      </c>
      <c r="F10" t="s">
        <v>56</v>
      </c>
      <c r="G10">
        <v>7</v>
      </c>
      <c r="H10">
        <v>7</v>
      </c>
      <c r="I10">
        <v>7</v>
      </c>
      <c r="J10" t="s">
        <v>38</v>
      </c>
    </row>
    <row r="11" spans="1:10" hidden="1" x14ac:dyDescent="0.3">
      <c r="A11" t="s">
        <v>59</v>
      </c>
      <c r="B11" s="5">
        <v>5000000000</v>
      </c>
      <c r="C11" t="s">
        <v>1589</v>
      </c>
      <c r="D11" t="s">
        <v>16</v>
      </c>
      <c r="E11" t="s">
        <v>42</v>
      </c>
      <c r="F11" t="s">
        <v>56</v>
      </c>
      <c r="G11">
        <v>8</v>
      </c>
      <c r="H11">
        <v>8</v>
      </c>
      <c r="I11">
        <v>9</v>
      </c>
      <c r="J11" t="s">
        <v>38</v>
      </c>
    </row>
    <row r="12" spans="1:10" hidden="1" x14ac:dyDescent="0.3">
      <c r="A12" t="s">
        <v>51</v>
      </c>
      <c r="B12" s="5">
        <v>2000000000</v>
      </c>
      <c r="C12" t="s">
        <v>1589</v>
      </c>
      <c r="D12" t="s">
        <v>16</v>
      </c>
      <c r="E12" t="s">
        <v>42</v>
      </c>
      <c r="F12" t="s">
        <v>52</v>
      </c>
      <c r="G12">
        <v>10</v>
      </c>
      <c r="H12">
        <v>10</v>
      </c>
      <c r="I12">
        <v>10</v>
      </c>
      <c r="J12" t="s">
        <v>38</v>
      </c>
    </row>
    <row r="13" spans="1:10" hidden="1" x14ac:dyDescent="0.3">
      <c r="A13" t="s">
        <v>64</v>
      </c>
      <c r="B13" s="5">
        <v>1100000000</v>
      </c>
      <c r="C13" t="s">
        <v>1589</v>
      </c>
      <c r="D13" t="s">
        <v>16</v>
      </c>
      <c r="E13" t="s">
        <v>42</v>
      </c>
      <c r="F13" t="s">
        <v>65</v>
      </c>
      <c r="G13">
        <v>7</v>
      </c>
      <c r="H13">
        <v>7</v>
      </c>
      <c r="I13">
        <v>8</v>
      </c>
      <c r="J13" t="s">
        <v>38</v>
      </c>
    </row>
    <row r="14" spans="1:10" hidden="1" x14ac:dyDescent="0.3">
      <c r="A14" t="s">
        <v>68</v>
      </c>
      <c r="B14" s="5">
        <v>250000000</v>
      </c>
      <c r="C14" t="s">
        <v>1590</v>
      </c>
      <c r="D14" t="s">
        <v>16</v>
      </c>
      <c r="E14" t="s">
        <v>42</v>
      </c>
      <c r="F14" t="s">
        <v>69</v>
      </c>
      <c r="G14">
        <v>4</v>
      </c>
      <c r="H14">
        <v>4</v>
      </c>
      <c r="I14">
        <v>5</v>
      </c>
      <c r="J14" t="s">
        <v>70</v>
      </c>
    </row>
    <row r="15" spans="1:10" hidden="1" x14ac:dyDescent="0.3">
      <c r="A15" t="s">
        <v>73</v>
      </c>
      <c r="B15" s="5">
        <v>350000000</v>
      </c>
      <c r="C15" t="s">
        <v>1590</v>
      </c>
      <c r="D15" t="s">
        <v>16</v>
      </c>
      <c r="E15" t="s">
        <v>42</v>
      </c>
      <c r="F15" t="s">
        <v>74</v>
      </c>
      <c r="G15">
        <v>4</v>
      </c>
      <c r="H15">
        <v>4</v>
      </c>
      <c r="I15">
        <v>5</v>
      </c>
      <c r="J15" t="s">
        <v>38</v>
      </c>
    </row>
    <row r="16" spans="1:10" hidden="1" x14ac:dyDescent="0.3">
      <c r="A16" t="s">
        <v>77</v>
      </c>
      <c r="B16" s="5">
        <v>900000000</v>
      </c>
      <c r="C16" t="s">
        <v>1589</v>
      </c>
      <c r="D16" t="s">
        <v>16</v>
      </c>
      <c r="E16" t="s">
        <v>42</v>
      </c>
      <c r="F16" t="s">
        <v>56</v>
      </c>
      <c r="G16">
        <v>4</v>
      </c>
      <c r="H16">
        <v>4</v>
      </c>
      <c r="I16">
        <v>4</v>
      </c>
      <c r="J16" t="s">
        <v>29</v>
      </c>
    </row>
    <row r="17" spans="1:10" hidden="1" x14ac:dyDescent="0.3">
      <c r="A17" t="s">
        <v>80</v>
      </c>
      <c r="B17" s="5">
        <v>1700000000</v>
      </c>
      <c r="C17" t="s">
        <v>1589</v>
      </c>
      <c r="D17" t="s">
        <v>16</v>
      </c>
      <c r="E17" t="s">
        <v>42</v>
      </c>
      <c r="F17" t="s">
        <v>56</v>
      </c>
      <c r="G17">
        <v>5</v>
      </c>
      <c r="H17">
        <v>5</v>
      </c>
      <c r="I17">
        <v>6</v>
      </c>
      <c r="J17" t="s">
        <v>38</v>
      </c>
    </row>
    <row r="18" spans="1:10" x14ac:dyDescent="0.3">
      <c r="A18" t="s">
        <v>83</v>
      </c>
      <c r="B18" s="5">
        <v>750000000</v>
      </c>
      <c r="C18" t="s">
        <v>1589</v>
      </c>
      <c r="D18" t="s">
        <v>16</v>
      </c>
      <c r="E18" t="s">
        <v>84</v>
      </c>
      <c r="F18" t="s">
        <v>86</v>
      </c>
      <c r="G18">
        <v>5</v>
      </c>
      <c r="H18">
        <v>5</v>
      </c>
      <c r="I18">
        <v>6</v>
      </c>
      <c r="J18" t="s">
        <v>70</v>
      </c>
    </row>
    <row r="19" spans="1:10" x14ac:dyDescent="0.3">
      <c r="A19" t="s">
        <v>89</v>
      </c>
      <c r="B19" s="5">
        <v>3000000000</v>
      </c>
      <c r="C19" t="s">
        <v>1589</v>
      </c>
      <c r="D19" t="s">
        <v>16</v>
      </c>
      <c r="E19" t="s">
        <v>84</v>
      </c>
      <c r="F19" t="s">
        <v>90</v>
      </c>
      <c r="G19">
        <v>8</v>
      </c>
      <c r="H19">
        <v>8</v>
      </c>
      <c r="I19">
        <v>8</v>
      </c>
      <c r="J19" t="s">
        <v>91</v>
      </c>
    </row>
    <row r="20" spans="1:10" x14ac:dyDescent="0.3">
      <c r="A20" t="s">
        <v>94</v>
      </c>
      <c r="B20" s="5">
        <v>2000000000</v>
      </c>
      <c r="C20" t="s">
        <v>1589</v>
      </c>
      <c r="D20" t="s">
        <v>16</v>
      </c>
      <c r="E20" t="s">
        <v>84</v>
      </c>
      <c r="F20" t="s">
        <v>90</v>
      </c>
      <c r="G20">
        <v>6</v>
      </c>
      <c r="H20">
        <v>6</v>
      </c>
      <c r="I20">
        <v>7</v>
      </c>
      <c r="J20" t="s">
        <v>38</v>
      </c>
    </row>
    <row r="21" spans="1:10" x14ac:dyDescent="0.3">
      <c r="A21" t="s">
        <v>94</v>
      </c>
      <c r="B21" s="5">
        <v>2000000000</v>
      </c>
      <c r="C21" t="s">
        <v>1589</v>
      </c>
      <c r="D21" t="s">
        <v>16</v>
      </c>
      <c r="E21" t="s">
        <v>84</v>
      </c>
      <c r="F21" t="s">
        <v>90</v>
      </c>
      <c r="G21">
        <v>6</v>
      </c>
      <c r="H21">
        <v>6</v>
      </c>
      <c r="I21">
        <v>7</v>
      </c>
      <c r="J21" t="s">
        <v>38</v>
      </c>
    </row>
    <row r="22" spans="1:10" x14ac:dyDescent="0.3">
      <c r="A22" t="s">
        <v>99</v>
      </c>
      <c r="B22" s="5">
        <v>1500000000</v>
      </c>
      <c r="C22" t="s">
        <v>1589</v>
      </c>
      <c r="D22" t="s">
        <v>16</v>
      </c>
      <c r="E22" t="s">
        <v>84</v>
      </c>
      <c r="F22" t="s">
        <v>100</v>
      </c>
      <c r="G22">
        <v>4</v>
      </c>
      <c r="H22">
        <v>4</v>
      </c>
      <c r="I22">
        <v>5</v>
      </c>
      <c r="J22" t="s">
        <v>38</v>
      </c>
    </row>
    <row r="23" spans="1:10" x14ac:dyDescent="0.3">
      <c r="A23" t="s">
        <v>103</v>
      </c>
      <c r="B23" s="5">
        <v>550000000</v>
      </c>
      <c r="C23" t="s">
        <v>1590</v>
      </c>
      <c r="D23" t="s">
        <v>16</v>
      </c>
      <c r="E23" t="s">
        <v>84</v>
      </c>
      <c r="F23" t="s">
        <v>104</v>
      </c>
      <c r="G23">
        <v>5</v>
      </c>
      <c r="H23">
        <v>5</v>
      </c>
      <c r="I23">
        <v>6</v>
      </c>
      <c r="J23" t="s">
        <v>29</v>
      </c>
    </row>
    <row r="24" spans="1:10" x14ac:dyDescent="0.3">
      <c r="A24" t="s">
        <v>107</v>
      </c>
      <c r="B24" s="5">
        <v>850000000</v>
      </c>
      <c r="C24" t="s">
        <v>1589</v>
      </c>
      <c r="D24" t="s">
        <v>16</v>
      </c>
      <c r="E24" t="s">
        <v>84</v>
      </c>
      <c r="F24" t="s">
        <v>90</v>
      </c>
      <c r="G24">
        <v>5</v>
      </c>
      <c r="H24">
        <v>5</v>
      </c>
      <c r="I24">
        <v>5</v>
      </c>
      <c r="J24" t="s">
        <v>38</v>
      </c>
    </row>
    <row r="25" spans="1:10" x14ac:dyDescent="0.3">
      <c r="A25" t="s">
        <v>110</v>
      </c>
      <c r="B25" s="5">
        <v>250000000</v>
      </c>
      <c r="C25" t="s">
        <v>1590</v>
      </c>
      <c r="D25" t="s">
        <v>16</v>
      </c>
      <c r="E25" t="s">
        <v>84</v>
      </c>
      <c r="F25" t="s">
        <v>90</v>
      </c>
      <c r="G25">
        <v>2</v>
      </c>
      <c r="H25">
        <v>2</v>
      </c>
      <c r="I25">
        <v>2</v>
      </c>
      <c r="J25" t="s">
        <v>19</v>
      </c>
    </row>
    <row r="26" spans="1:10" x14ac:dyDescent="0.3">
      <c r="A26" t="s">
        <v>113</v>
      </c>
      <c r="B26" s="5">
        <v>800000000</v>
      </c>
      <c r="C26" t="s">
        <v>1589</v>
      </c>
      <c r="D26" t="s">
        <v>16</v>
      </c>
      <c r="E26" t="s">
        <v>84</v>
      </c>
      <c r="F26" t="s">
        <v>90</v>
      </c>
      <c r="G26">
        <v>7</v>
      </c>
      <c r="H26">
        <v>7</v>
      </c>
      <c r="I26">
        <v>7</v>
      </c>
      <c r="J26" t="s">
        <v>29</v>
      </c>
    </row>
    <row r="27" spans="1:10" x14ac:dyDescent="0.3">
      <c r="A27" t="s">
        <v>116</v>
      </c>
      <c r="B27" s="5">
        <v>950000000</v>
      </c>
      <c r="C27" t="s">
        <v>1589</v>
      </c>
      <c r="D27" t="s">
        <v>16</v>
      </c>
      <c r="E27" t="s">
        <v>84</v>
      </c>
      <c r="F27" t="s">
        <v>90</v>
      </c>
      <c r="G27">
        <v>4</v>
      </c>
      <c r="H27">
        <v>4</v>
      </c>
      <c r="I27">
        <v>4</v>
      </c>
      <c r="J27" t="s">
        <v>70</v>
      </c>
    </row>
    <row r="28" spans="1:10" x14ac:dyDescent="0.3">
      <c r="A28" t="s">
        <v>119</v>
      </c>
      <c r="B28" s="5">
        <v>2000000000</v>
      </c>
      <c r="C28" t="s">
        <v>1589</v>
      </c>
      <c r="D28" t="s">
        <v>16</v>
      </c>
      <c r="E28" t="s">
        <v>84</v>
      </c>
      <c r="F28" t="s">
        <v>90</v>
      </c>
      <c r="G28">
        <v>3</v>
      </c>
      <c r="H28">
        <v>2</v>
      </c>
      <c r="I28">
        <v>2</v>
      </c>
      <c r="J28" t="s">
        <v>19</v>
      </c>
    </row>
    <row r="29" spans="1:10" x14ac:dyDescent="0.3">
      <c r="A29" t="s">
        <v>122</v>
      </c>
      <c r="B29" s="5">
        <v>1300000000</v>
      </c>
      <c r="C29" t="s">
        <v>1589</v>
      </c>
      <c r="D29" t="s">
        <v>16</v>
      </c>
      <c r="E29" t="s">
        <v>84</v>
      </c>
      <c r="F29" t="s">
        <v>90</v>
      </c>
      <c r="G29">
        <v>3</v>
      </c>
      <c r="H29">
        <v>3</v>
      </c>
      <c r="I29">
        <v>3</v>
      </c>
      <c r="J29" t="s">
        <v>19</v>
      </c>
    </row>
    <row r="30" spans="1:10" x14ac:dyDescent="0.3">
      <c r="A30" t="s">
        <v>116</v>
      </c>
      <c r="B30" s="5">
        <v>850000000</v>
      </c>
      <c r="C30" t="s">
        <v>1589</v>
      </c>
      <c r="D30" t="s">
        <v>16</v>
      </c>
      <c r="E30" t="s">
        <v>84</v>
      </c>
      <c r="F30" t="s">
        <v>90</v>
      </c>
      <c r="G30">
        <v>4</v>
      </c>
      <c r="H30">
        <v>4</v>
      </c>
      <c r="I30">
        <v>4</v>
      </c>
      <c r="J30" t="s">
        <v>70</v>
      </c>
    </row>
    <row r="31" spans="1:10" x14ac:dyDescent="0.3">
      <c r="A31" t="s">
        <v>127</v>
      </c>
      <c r="B31" s="5">
        <v>2500000000</v>
      </c>
      <c r="C31" t="s">
        <v>1589</v>
      </c>
      <c r="D31" t="s">
        <v>16</v>
      </c>
      <c r="E31" t="s">
        <v>84</v>
      </c>
      <c r="F31" t="s">
        <v>90</v>
      </c>
      <c r="G31">
        <v>7</v>
      </c>
      <c r="H31">
        <v>7</v>
      </c>
      <c r="I31">
        <v>7</v>
      </c>
      <c r="J31" t="s">
        <v>38</v>
      </c>
    </row>
    <row r="32" spans="1:10" x14ac:dyDescent="0.3">
      <c r="A32" t="s">
        <v>130</v>
      </c>
      <c r="B32" s="5">
        <v>300000000</v>
      </c>
      <c r="C32" t="s">
        <v>1590</v>
      </c>
      <c r="D32" t="s">
        <v>16</v>
      </c>
      <c r="E32" t="s">
        <v>84</v>
      </c>
      <c r="F32" t="s">
        <v>90</v>
      </c>
      <c r="G32">
        <v>3</v>
      </c>
      <c r="H32">
        <v>3</v>
      </c>
      <c r="I32">
        <v>3</v>
      </c>
      <c r="J32" t="s">
        <v>19</v>
      </c>
    </row>
    <row r="33" spans="1:10" hidden="1" x14ac:dyDescent="0.3">
      <c r="A33" t="s">
        <v>133</v>
      </c>
      <c r="B33" s="5">
        <v>150000000</v>
      </c>
      <c r="C33" t="s">
        <v>1591</v>
      </c>
      <c r="D33" t="s">
        <v>16</v>
      </c>
      <c r="E33" t="s">
        <v>134</v>
      </c>
      <c r="F33" t="s">
        <v>135</v>
      </c>
      <c r="G33">
        <v>4</v>
      </c>
      <c r="H33">
        <v>4</v>
      </c>
      <c r="I33">
        <v>5</v>
      </c>
      <c r="J33" t="s">
        <v>29</v>
      </c>
    </row>
    <row r="34" spans="1:10" hidden="1" x14ac:dyDescent="0.3">
      <c r="A34" t="s">
        <v>138</v>
      </c>
      <c r="B34" s="5">
        <v>350000000</v>
      </c>
      <c r="C34" t="s">
        <v>1590</v>
      </c>
      <c r="D34" t="s">
        <v>16</v>
      </c>
      <c r="E34" t="s">
        <v>134</v>
      </c>
      <c r="F34" t="s">
        <v>135</v>
      </c>
      <c r="G34">
        <v>2</v>
      </c>
      <c r="H34">
        <v>3</v>
      </c>
      <c r="I34">
        <v>5</v>
      </c>
      <c r="J34" t="s">
        <v>19</v>
      </c>
    </row>
    <row r="35" spans="1:10" hidden="1" x14ac:dyDescent="0.3">
      <c r="A35" t="s">
        <v>141</v>
      </c>
      <c r="B35" s="5">
        <v>650000000</v>
      </c>
      <c r="C35" t="s">
        <v>1590</v>
      </c>
      <c r="D35" t="s">
        <v>16</v>
      </c>
      <c r="E35" t="s">
        <v>134</v>
      </c>
      <c r="F35" t="s">
        <v>135</v>
      </c>
      <c r="G35">
        <v>2</v>
      </c>
      <c r="H35">
        <v>2</v>
      </c>
      <c r="I35">
        <v>5</v>
      </c>
      <c r="J35" t="s">
        <v>19</v>
      </c>
    </row>
    <row r="36" spans="1:10" hidden="1" x14ac:dyDescent="0.3">
      <c r="A36" t="s">
        <v>144</v>
      </c>
      <c r="B36" s="5">
        <v>365000000</v>
      </c>
      <c r="C36" t="s">
        <v>1590</v>
      </c>
      <c r="D36" t="s">
        <v>16</v>
      </c>
      <c r="E36" t="s">
        <v>134</v>
      </c>
      <c r="F36" t="s">
        <v>145</v>
      </c>
      <c r="G36">
        <v>4</v>
      </c>
      <c r="H36">
        <v>4</v>
      </c>
      <c r="I36">
        <v>1</v>
      </c>
      <c r="J36" t="s">
        <v>38</v>
      </c>
    </row>
    <row r="37" spans="1:10" hidden="1" x14ac:dyDescent="0.3">
      <c r="A37" t="s">
        <v>148</v>
      </c>
      <c r="B37" s="5">
        <v>210000000</v>
      </c>
      <c r="C37" t="s">
        <v>1591</v>
      </c>
      <c r="D37" t="s">
        <v>16</v>
      </c>
      <c r="E37" t="s">
        <v>134</v>
      </c>
      <c r="F37" t="s">
        <v>149</v>
      </c>
      <c r="G37">
        <v>4</v>
      </c>
      <c r="H37">
        <v>4</v>
      </c>
      <c r="I37">
        <v>4</v>
      </c>
      <c r="J37" t="s">
        <v>91</v>
      </c>
    </row>
    <row r="38" spans="1:10" hidden="1" x14ac:dyDescent="0.3">
      <c r="A38" t="s">
        <v>152</v>
      </c>
      <c r="B38" s="5">
        <v>150000000</v>
      </c>
      <c r="C38" t="s">
        <v>1591</v>
      </c>
      <c r="D38" t="s">
        <v>16</v>
      </c>
      <c r="E38" t="s">
        <v>134</v>
      </c>
      <c r="F38" t="s">
        <v>153</v>
      </c>
      <c r="G38">
        <v>3</v>
      </c>
      <c r="H38">
        <v>3</v>
      </c>
      <c r="I38">
        <v>4</v>
      </c>
      <c r="J38" t="s">
        <v>38</v>
      </c>
    </row>
    <row r="39" spans="1:10" hidden="1" x14ac:dyDescent="0.3">
      <c r="A39" t="s">
        <v>156</v>
      </c>
      <c r="B39" s="5">
        <v>250000000</v>
      </c>
      <c r="C39" t="s">
        <v>1590</v>
      </c>
      <c r="D39" t="s">
        <v>16</v>
      </c>
      <c r="E39" t="s">
        <v>134</v>
      </c>
      <c r="F39" t="s">
        <v>157</v>
      </c>
      <c r="G39">
        <v>5</v>
      </c>
      <c r="H39">
        <v>5</v>
      </c>
      <c r="I39">
        <v>6</v>
      </c>
      <c r="J39" t="s">
        <v>29</v>
      </c>
    </row>
    <row r="40" spans="1:10" hidden="1" x14ac:dyDescent="0.3">
      <c r="A40" t="s">
        <v>160</v>
      </c>
      <c r="B40" s="5">
        <v>300000000</v>
      </c>
      <c r="C40" t="s">
        <v>1590</v>
      </c>
      <c r="D40" t="s">
        <v>16</v>
      </c>
      <c r="E40" t="s">
        <v>134</v>
      </c>
      <c r="F40" t="s">
        <v>161</v>
      </c>
      <c r="G40">
        <v>6</v>
      </c>
      <c r="H40">
        <v>6</v>
      </c>
      <c r="I40">
        <v>7</v>
      </c>
      <c r="J40" t="s">
        <v>91</v>
      </c>
    </row>
    <row r="41" spans="1:10" hidden="1" x14ac:dyDescent="0.3">
      <c r="A41" t="s">
        <v>77</v>
      </c>
      <c r="B41" s="5">
        <v>280000000</v>
      </c>
      <c r="C41" t="s">
        <v>1590</v>
      </c>
      <c r="D41" t="s">
        <v>16</v>
      </c>
      <c r="E41" t="s">
        <v>134</v>
      </c>
      <c r="F41" t="s">
        <v>164</v>
      </c>
      <c r="G41">
        <v>4</v>
      </c>
      <c r="H41">
        <v>4</v>
      </c>
      <c r="I41">
        <v>5</v>
      </c>
      <c r="J41" t="s">
        <v>29</v>
      </c>
    </row>
    <row r="42" spans="1:10" hidden="1" x14ac:dyDescent="0.3">
      <c r="A42" t="s">
        <v>167</v>
      </c>
      <c r="B42" s="5">
        <v>550000000</v>
      </c>
      <c r="C42" t="s">
        <v>1590</v>
      </c>
      <c r="D42" t="s">
        <v>16</v>
      </c>
      <c r="E42" t="s">
        <v>134</v>
      </c>
      <c r="F42" t="s">
        <v>164</v>
      </c>
      <c r="G42">
        <v>7</v>
      </c>
      <c r="H42">
        <v>7</v>
      </c>
      <c r="I42">
        <v>8</v>
      </c>
      <c r="J42" t="s">
        <v>38</v>
      </c>
    </row>
    <row r="43" spans="1:10" hidden="1" x14ac:dyDescent="0.3">
      <c r="A43" t="s">
        <v>107</v>
      </c>
      <c r="B43" s="5">
        <v>400000000</v>
      </c>
      <c r="C43" t="s">
        <v>1590</v>
      </c>
      <c r="D43" t="s">
        <v>16</v>
      </c>
      <c r="E43" t="s">
        <v>134</v>
      </c>
      <c r="F43" t="s">
        <v>164</v>
      </c>
      <c r="G43">
        <v>5</v>
      </c>
      <c r="H43">
        <v>5</v>
      </c>
      <c r="I43">
        <v>6</v>
      </c>
      <c r="J43" t="s">
        <v>38</v>
      </c>
    </row>
    <row r="44" spans="1:10" hidden="1" x14ac:dyDescent="0.3">
      <c r="A44" t="s">
        <v>172</v>
      </c>
      <c r="B44" s="5">
        <v>250000000</v>
      </c>
      <c r="C44" t="s">
        <v>1590</v>
      </c>
      <c r="D44" t="s">
        <v>16</v>
      </c>
      <c r="E44" t="s">
        <v>134</v>
      </c>
      <c r="F44" t="s">
        <v>164</v>
      </c>
      <c r="G44">
        <v>5</v>
      </c>
      <c r="H44">
        <v>5</v>
      </c>
      <c r="I44">
        <v>6</v>
      </c>
      <c r="J44" t="s">
        <v>29</v>
      </c>
    </row>
    <row r="45" spans="1:10" hidden="1" x14ac:dyDescent="0.3">
      <c r="A45" t="s">
        <v>175</v>
      </c>
      <c r="B45" s="5">
        <v>120000000</v>
      </c>
      <c r="C45" t="s">
        <v>1591</v>
      </c>
      <c r="D45" t="s">
        <v>16</v>
      </c>
      <c r="E45" t="s">
        <v>134</v>
      </c>
      <c r="F45" t="s">
        <v>176</v>
      </c>
      <c r="G45">
        <v>2</v>
      </c>
      <c r="H45">
        <v>2</v>
      </c>
      <c r="I45">
        <v>2</v>
      </c>
      <c r="J45" t="s">
        <v>19</v>
      </c>
    </row>
    <row r="46" spans="1:10" hidden="1" x14ac:dyDescent="0.3">
      <c r="A46" t="s">
        <v>179</v>
      </c>
      <c r="B46" s="5">
        <v>65000000</v>
      </c>
      <c r="C46" t="s">
        <v>1591</v>
      </c>
      <c r="D46" t="s">
        <v>16</v>
      </c>
      <c r="E46" t="s">
        <v>134</v>
      </c>
      <c r="F46" t="s">
        <v>180</v>
      </c>
      <c r="G46">
        <v>3</v>
      </c>
      <c r="H46">
        <v>4</v>
      </c>
      <c r="I46">
        <v>4</v>
      </c>
      <c r="J46" t="s">
        <v>19</v>
      </c>
    </row>
    <row r="47" spans="1:10" hidden="1" x14ac:dyDescent="0.3">
      <c r="A47" t="s">
        <v>183</v>
      </c>
      <c r="B47" s="5">
        <v>200000000</v>
      </c>
      <c r="C47" t="s">
        <v>1591</v>
      </c>
      <c r="D47" t="s">
        <v>16</v>
      </c>
      <c r="E47" t="s">
        <v>134</v>
      </c>
      <c r="F47" t="s">
        <v>184</v>
      </c>
      <c r="G47">
        <v>4</v>
      </c>
      <c r="H47">
        <v>4</v>
      </c>
      <c r="I47">
        <v>5</v>
      </c>
      <c r="J47" t="s">
        <v>29</v>
      </c>
    </row>
    <row r="48" spans="1:10" hidden="1" x14ac:dyDescent="0.3">
      <c r="A48" t="s">
        <v>187</v>
      </c>
      <c r="B48" s="5">
        <v>600000000</v>
      </c>
      <c r="C48" t="s">
        <v>1590</v>
      </c>
      <c r="D48" t="s">
        <v>16</v>
      </c>
      <c r="E48" t="s">
        <v>134</v>
      </c>
      <c r="F48" t="s">
        <v>188</v>
      </c>
      <c r="G48">
        <v>7</v>
      </c>
      <c r="H48">
        <v>7</v>
      </c>
      <c r="I48">
        <v>8</v>
      </c>
      <c r="J48" t="s">
        <v>38</v>
      </c>
    </row>
    <row r="49" spans="1:10" hidden="1" x14ac:dyDescent="0.3">
      <c r="A49" t="s">
        <v>191</v>
      </c>
      <c r="B49" s="5">
        <v>155000000</v>
      </c>
      <c r="C49" t="s">
        <v>1591</v>
      </c>
      <c r="D49" t="s">
        <v>16</v>
      </c>
      <c r="E49" t="s">
        <v>134</v>
      </c>
      <c r="F49" t="s">
        <v>192</v>
      </c>
      <c r="G49">
        <v>3</v>
      </c>
      <c r="H49">
        <v>3</v>
      </c>
      <c r="I49">
        <v>4</v>
      </c>
      <c r="J49" t="s">
        <v>193</v>
      </c>
    </row>
    <row r="50" spans="1:10" hidden="1" x14ac:dyDescent="0.3">
      <c r="A50" t="s">
        <v>196</v>
      </c>
      <c r="B50" s="5">
        <v>270000000</v>
      </c>
      <c r="C50" t="s">
        <v>1590</v>
      </c>
      <c r="D50" t="s">
        <v>16</v>
      </c>
      <c r="E50" t="s">
        <v>134</v>
      </c>
      <c r="F50" t="s">
        <v>153</v>
      </c>
      <c r="G50">
        <v>3</v>
      </c>
      <c r="H50">
        <v>3</v>
      </c>
      <c r="I50">
        <v>4</v>
      </c>
      <c r="J50" t="s">
        <v>70</v>
      </c>
    </row>
    <row r="51" spans="1:10" hidden="1" x14ac:dyDescent="0.3">
      <c r="A51" t="s">
        <v>199</v>
      </c>
      <c r="B51" s="5">
        <v>102199875</v>
      </c>
      <c r="C51" t="s">
        <v>1591</v>
      </c>
      <c r="D51" t="s">
        <v>16</v>
      </c>
      <c r="E51" t="s">
        <v>200</v>
      </c>
      <c r="F51" t="s">
        <v>201</v>
      </c>
      <c r="G51">
        <v>3</v>
      </c>
      <c r="H51">
        <v>3</v>
      </c>
      <c r="I51">
        <v>4</v>
      </c>
      <c r="J51" t="s">
        <v>19</v>
      </c>
    </row>
    <row r="52" spans="1:10" hidden="1" x14ac:dyDescent="0.3">
      <c r="A52" t="s">
        <v>204</v>
      </c>
      <c r="B52" s="5">
        <v>170000000</v>
      </c>
      <c r="C52" t="s">
        <v>1591</v>
      </c>
      <c r="D52" t="s">
        <v>16</v>
      </c>
      <c r="E52" t="s">
        <v>200</v>
      </c>
      <c r="F52" t="s">
        <v>205</v>
      </c>
      <c r="G52">
        <v>4</v>
      </c>
      <c r="H52">
        <v>4</v>
      </c>
      <c r="I52">
        <v>5</v>
      </c>
      <c r="J52" t="s">
        <v>193</v>
      </c>
    </row>
    <row r="53" spans="1:10" hidden="1" x14ac:dyDescent="0.3">
      <c r="A53" t="s">
        <v>208</v>
      </c>
      <c r="B53" s="5">
        <v>36508320</v>
      </c>
      <c r="C53" t="s">
        <v>1592</v>
      </c>
      <c r="D53" t="s">
        <v>16</v>
      </c>
      <c r="E53" t="s">
        <v>200</v>
      </c>
      <c r="F53" t="s">
        <v>209</v>
      </c>
      <c r="G53">
        <v>2</v>
      </c>
      <c r="H53">
        <v>2</v>
      </c>
      <c r="I53">
        <v>3</v>
      </c>
      <c r="J53" t="s">
        <v>19</v>
      </c>
    </row>
    <row r="54" spans="1:10" hidden="1" x14ac:dyDescent="0.3">
      <c r="A54" t="s">
        <v>212</v>
      </c>
      <c r="B54" s="5">
        <v>52080376</v>
      </c>
      <c r="C54" t="s">
        <v>1591</v>
      </c>
      <c r="D54" t="s">
        <v>16</v>
      </c>
      <c r="E54" t="s">
        <v>200</v>
      </c>
      <c r="F54" t="s">
        <v>209</v>
      </c>
      <c r="G54">
        <v>1</v>
      </c>
      <c r="H54">
        <v>1</v>
      </c>
      <c r="I54">
        <v>2</v>
      </c>
      <c r="J54" t="s">
        <v>19</v>
      </c>
    </row>
    <row r="55" spans="1:10" hidden="1" x14ac:dyDescent="0.3">
      <c r="A55" t="s">
        <v>215</v>
      </c>
      <c r="B55" s="5">
        <v>130000000</v>
      </c>
      <c r="C55" t="s">
        <v>1591</v>
      </c>
      <c r="D55" t="s">
        <v>16</v>
      </c>
      <c r="E55" t="s">
        <v>200</v>
      </c>
      <c r="F55" t="s">
        <v>216</v>
      </c>
      <c r="G55">
        <v>4</v>
      </c>
      <c r="H55">
        <v>4</v>
      </c>
      <c r="I55">
        <v>5</v>
      </c>
      <c r="J55" t="s">
        <v>38</v>
      </c>
    </row>
    <row r="56" spans="1:10" hidden="1" x14ac:dyDescent="0.3">
      <c r="A56" t="s">
        <v>219</v>
      </c>
      <c r="B56" s="5">
        <v>55000000</v>
      </c>
      <c r="C56" t="s">
        <v>1591</v>
      </c>
      <c r="D56" t="s">
        <v>16</v>
      </c>
      <c r="E56" t="s">
        <v>200</v>
      </c>
      <c r="F56" t="s">
        <v>220</v>
      </c>
      <c r="G56">
        <v>4</v>
      </c>
      <c r="H56">
        <v>4</v>
      </c>
      <c r="I56">
        <v>5</v>
      </c>
      <c r="J56" t="s">
        <v>38</v>
      </c>
    </row>
    <row r="57" spans="1:10" hidden="1" x14ac:dyDescent="0.3">
      <c r="A57" t="s">
        <v>223</v>
      </c>
      <c r="B57" s="5">
        <v>200000000</v>
      </c>
      <c r="C57" t="s">
        <v>1591</v>
      </c>
      <c r="D57" t="s">
        <v>16</v>
      </c>
      <c r="E57" t="s">
        <v>200</v>
      </c>
      <c r="F57" t="s">
        <v>224</v>
      </c>
      <c r="G57">
        <v>3</v>
      </c>
      <c r="H57">
        <v>3</v>
      </c>
      <c r="I57">
        <v>4</v>
      </c>
      <c r="J57" t="s">
        <v>91</v>
      </c>
    </row>
    <row r="58" spans="1:10" hidden="1" x14ac:dyDescent="0.3">
      <c r="A58" t="s">
        <v>227</v>
      </c>
      <c r="B58" s="5">
        <v>120000000</v>
      </c>
      <c r="C58" t="s">
        <v>1591</v>
      </c>
      <c r="D58" t="s">
        <v>16</v>
      </c>
      <c r="E58" t="s">
        <v>200</v>
      </c>
      <c r="F58" t="s">
        <v>228</v>
      </c>
      <c r="G58">
        <v>2</v>
      </c>
      <c r="H58">
        <v>2</v>
      </c>
      <c r="I58">
        <v>3</v>
      </c>
      <c r="J58" t="s">
        <v>19</v>
      </c>
    </row>
    <row r="59" spans="1:10" hidden="1" x14ac:dyDescent="0.3">
      <c r="A59" t="s">
        <v>231</v>
      </c>
      <c r="B59" s="5">
        <v>250000000</v>
      </c>
      <c r="C59" t="s">
        <v>1590</v>
      </c>
      <c r="D59" t="s">
        <v>16</v>
      </c>
      <c r="E59" t="s">
        <v>200</v>
      </c>
      <c r="F59" t="s">
        <v>232</v>
      </c>
      <c r="G59">
        <v>5</v>
      </c>
      <c r="H59">
        <v>5</v>
      </c>
      <c r="I59">
        <v>6</v>
      </c>
      <c r="J59" t="s">
        <v>91</v>
      </c>
    </row>
    <row r="60" spans="1:10" hidden="1" x14ac:dyDescent="0.3">
      <c r="A60" t="s">
        <v>235</v>
      </c>
      <c r="B60" s="5">
        <v>1800000000</v>
      </c>
      <c r="C60" t="s">
        <v>1589</v>
      </c>
      <c r="D60" t="s">
        <v>16</v>
      </c>
      <c r="E60" t="s">
        <v>236</v>
      </c>
      <c r="F60" t="s">
        <v>237</v>
      </c>
      <c r="G60">
        <v>7</v>
      </c>
      <c r="H60">
        <v>7</v>
      </c>
      <c r="I60">
        <v>8</v>
      </c>
      <c r="J60" t="s">
        <v>70</v>
      </c>
    </row>
    <row r="61" spans="1:10" hidden="1" x14ac:dyDescent="0.3">
      <c r="A61" t="s">
        <v>240</v>
      </c>
      <c r="B61" s="5">
        <v>280000000</v>
      </c>
      <c r="C61" t="s">
        <v>1590</v>
      </c>
      <c r="D61" t="s">
        <v>16</v>
      </c>
      <c r="E61" t="s">
        <v>236</v>
      </c>
      <c r="F61" t="s">
        <v>237</v>
      </c>
      <c r="G61">
        <v>3</v>
      </c>
      <c r="H61">
        <v>4</v>
      </c>
      <c r="I61">
        <v>5</v>
      </c>
      <c r="J61" t="s">
        <v>19</v>
      </c>
    </row>
    <row r="62" spans="1:10" hidden="1" x14ac:dyDescent="0.3">
      <c r="A62" t="s">
        <v>243</v>
      </c>
      <c r="B62" s="5">
        <v>120000000</v>
      </c>
      <c r="C62" t="s">
        <v>1591</v>
      </c>
      <c r="D62" t="s">
        <v>16</v>
      </c>
      <c r="E62" t="s">
        <v>236</v>
      </c>
      <c r="F62" t="s">
        <v>244</v>
      </c>
      <c r="G62">
        <v>3</v>
      </c>
      <c r="H62">
        <v>3</v>
      </c>
      <c r="I62">
        <v>4</v>
      </c>
      <c r="J62" t="s">
        <v>19</v>
      </c>
    </row>
    <row r="63" spans="1:10" hidden="1" x14ac:dyDescent="0.3">
      <c r="A63" t="s">
        <v>247</v>
      </c>
      <c r="B63" s="5">
        <v>330000000</v>
      </c>
      <c r="C63" t="s">
        <v>1590</v>
      </c>
      <c r="D63" t="s">
        <v>16</v>
      </c>
      <c r="E63" t="s">
        <v>236</v>
      </c>
      <c r="F63" t="s">
        <v>237</v>
      </c>
      <c r="G63">
        <v>4</v>
      </c>
      <c r="H63">
        <v>4</v>
      </c>
      <c r="I63">
        <v>5</v>
      </c>
      <c r="J63" t="s">
        <v>91</v>
      </c>
    </row>
    <row r="64" spans="1:10" hidden="1" x14ac:dyDescent="0.3">
      <c r="A64" t="s">
        <v>250</v>
      </c>
      <c r="B64" s="5">
        <v>85000000</v>
      </c>
      <c r="C64" t="s">
        <v>1591</v>
      </c>
      <c r="D64" t="s">
        <v>16</v>
      </c>
      <c r="E64" t="s">
        <v>236</v>
      </c>
      <c r="F64" t="s">
        <v>251</v>
      </c>
      <c r="G64">
        <v>3</v>
      </c>
      <c r="H64">
        <v>3</v>
      </c>
      <c r="I64">
        <v>4</v>
      </c>
      <c r="J64" t="s">
        <v>19</v>
      </c>
    </row>
    <row r="65" spans="1:10" hidden="1" x14ac:dyDescent="0.3">
      <c r="A65" t="s">
        <v>254</v>
      </c>
      <c r="B65" s="5">
        <v>250000000</v>
      </c>
      <c r="C65" t="s">
        <v>1590</v>
      </c>
      <c r="D65" t="s">
        <v>16</v>
      </c>
      <c r="E65" t="s">
        <v>236</v>
      </c>
      <c r="F65" t="s">
        <v>255</v>
      </c>
      <c r="G65">
        <v>4</v>
      </c>
      <c r="H65">
        <v>4</v>
      </c>
      <c r="I65">
        <v>5</v>
      </c>
      <c r="J65" t="s">
        <v>29</v>
      </c>
    </row>
    <row r="66" spans="1:10" hidden="1" x14ac:dyDescent="0.3">
      <c r="A66" t="s">
        <v>258</v>
      </c>
      <c r="B66" s="5">
        <v>75000000</v>
      </c>
      <c r="C66" t="s">
        <v>1591</v>
      </c>
      <c r="D66" t="s">
        <v>16</v>
      </c>
      <c r="E66" t="s">
        <v>259</v>
      </c>
      <c r="F66" t="s">
        <v>260</v>
      </c>
      <c r="G66">
        <v>2</v>
      </c>
      <c r="H66">
        <v>2</v>
      </c>
      <c r="I66">
        <v>3</v>
      </c>
      <c r="J66" t="s">
        <v>19</v>
      </c>
    </row>
    <row r="67" spans="1:10" hidden="1" x14ac:dyDescent="0.3">
      <c r="A67" t="s">
        <v>133</v>
      </c>
      <c r="B67" s="5">
        <v>370000000</v>
      </c>
      <c r="C67" t="s">
        <v>1590</v>
      </c>
      <c r="D67" t="s">
        <v>16</v>
      </c>
      <c r="E67" t="s">
        <v>236</v>
      </c>
      <c r="F67" t="s">
        <v>237</v>
      </c>
      <c r="G67">
        <v>4</v>
      </c>
      <c r="H67">
        <v>4</v>
      </c>
      <c r="I67">
        <v>5</v>
      </c>
      <c r="J67" t="s">
        <v>29</v>
      </c>
    </row>
    <row r="68" spans="1:10" hidden="1" x14ac:dyDescent="0.3">
      <c r="A68" t="s">
        <v>265</v>
      </c>
      <c r="B68" s="5">
        <v>285000000</v>
      </c>
      <c r="C68" t="s">
        <v>1590</v>
      </c>
      <c r="D68" t="s">
        <v>16</v>
      </c>
      <c r="E68" t="s">
        <v>236</v>
      </c>
      <c r="F68" t="s">
        <v>266</v>
      </c>
      <c r="G68">
        <v>4</v>
      </c>
      <c r="H68">
        <v>4</v>
      </c>
      <c r="I68">
        <v>5</v>
      </c>
      <c r="J68" t="s">
        <v>91</v>
      </c>
    </row>
    <row r="69" spans="1:10" hidden="1" x14ac:dyDescent="0.3">
      <c r="A69" t="s">
        <v>133</v>
      </c>
      <c r="B69" s="5">
        <v>330000000</v>
      </c>
      <c r="C69" t="s">
        <v>1590</v>
      </c>
      <c r="D69" t="s">
        <v>16</v>
      </c>
      <c r="E69" t="s">
        <v>236</v>
      </c>
      <c r="F69" t="s">
        <v>251</v>
      </c>
      <c r="G69">
        <v>4</v>
      </c>
      <c r="H69">
        <v>4</v>
      </c>
      <c r="I69">
        <v>5</v>
      </c>
      <c r="J69" t="s">
        <v>29</v>
      </c>
    </row>
    <row r="70" spans="1:10" hidden="1" x14ac:dyDescent="0.3">
      <c r="A70" t="s">
        <v>271</v>
      </c>
      <c r="B70" s="5">
        <v>200000000</v>
      </c>
      <c r="C70" t="s">
        <v>1591</v>
      </c>
      <c r="D70" t="s">
        <v>16</v>
      </c>
      <c r="E70" t="s">
        <v>236</v>
      </c>
      <c r="F70" t="s">
        <v>272</v>
      </c>
      <c r="G70">
        <v>4</v>
      </c>
      <c r="H70">
        <v>4</v>
      </c>
      <c r="I70">
        <v>5</v>
      </c>
      <c r="J70" t="s">
        <v>19</v>
      </c>
    </row>
    <row r="71" spans="1:10" hidden="1" x14ac:dyDescent="0.3">
      <c r="A71" t="s">
        <v>275</v>
      </c>
      <c r="B71" s="5">
        <v>400000000</v>
      </c>
      <c r="C71" t="s">
        <v>1590</v>
      </c>
      <c r="D71" t="s">
        <v>16</v>
      </c>
      <c r="E71" t="s">
        <v>236</v>
      </c>
      <c r="F71" t="s">
        <v>276</v>
      </c>
      <c r="G71">
        <v>5</v>
      </c>
      <c r="H71">
        <v>5</v>
      </c>
      <c r="I71">
        <v>6</v>
      </c>
      <c r="J71" t="s">
        <v>29</v>
      </c>
    </row>
    <row r="72" spans="1:10" hidden="1" x14ac:dyDescent="0.3">
      <c r="A72" t="s">
        <v>279</v>
      </c>
      <c r="B72" s="5">
        <v>225000000</v>
      </c>
      <c r="C72" t="s">
        <v>1591</v>
      </c>
      <c r="D72" t="s">
        <v>16</v>
      </c>
      <c r="E72" t="s">
        <v>236</v>
      </c>
      <c r="F72" t="s">
        <v>280</v>
      </c>
      <c r="G72">
        <v>3</v>
      </c>
      <c r="H72">
        <v>3</v>
      </c>
      <c r="I72">
        <v>4</v>
      </c>
      <c r="J72" t="s">
        <v>19</v>
      </c>
    </row>
    <row r="73" spans="1:10" hidden="1" x14ac:dyDescent="0.3">
      <c r="A73" t="s">
        <v>283</v>
      </c>
      <c r="B73" s="5">
        <v>750000000</v>
      </c>
      <c r="C73" t="s">
        <v>1589</v>
      </c>
      <c r="D73" t="s">
        <v>16</v>
      </c>
      <c r="E73" t="s">
        <v>284</v>
      </c>
      <c r="F73" t="s">
        <v>285</v>
      </c>
      <c r="G73">
        <v>6</v>
      </c>
      <c r="H73">
        <v>6</v>
      </c>
      <c r="I73">
        <v>7</v>
      </c>
      <c r="J73" t="s">
        <v>38</v>
      </c>
    </row>
    <row r="74" spans="1:10" hidden="1" x14ac:dyDescent="0.3">
      <c r="A74" t="s">
        <v>288</v>
      </c>
      <c r="B74" s="5">
        <v>350000000</v>
      </c>
      <c r="C74" t="s">
        <v>1590</v>
      </c>
      <c r="D74" t="s">
        <v>16</v>
      </c>
      <c r="E74" t="s">
        <v>284</v>
      </c>
      <c r="F74" t="s">
        <v>289</v>
      </c>
      <c r="G74">
        <v>5</v>
      </c>
      <c r="H74">
        <v>5</v>
      </c>
      <c r="I74">
        <v>6</v>
      </c>
      <c r="J74" t="s">
        <v>38</v>
      </c>
    </row>
    <row r="75" spans="1:10" hidden="1" x14ac:dyDescent="0.3">
      <c r="A75" t="s">
        <v>292</v>
      </c>
      <c r="B75" s="5">
        <v>1100000000</v>
      </c>
      <c r="C75" t="s">
        <v>1589</v>
      </c>
      <c r="D75" t="s">
        <v>16</v>
      </c>
      <c r="E75" t="s">
        <v>284</v>
      </c>
      <c r="F75" t="s">
        <v>293</v>
      </c>
      <c r="G75">
        <v>7</v>
      </c>
      <c r="H75">
        <v>7</v>
      </c>
      <c r="I75">
        <v>8</v>
      </c>
      <c r="J75" t="s">
        <v>91</v>
      </c>
    </row>
    <row r="76" spans="1:10" hidden="1" x14ac:dyDescent="0.3">
      <c r="A76" t="s">
        <v>144</v>
      </c>
      <c r="B76" s="5">
        <v>550000000</v>
      </c>
      <c r="C76" t="s">
        <v>1590</v>
      </c>
      <c r="D76" t="s">
        <v>16</v>
      </c>
      <c r="E76" t="s">
        <v>284</v>
      </c>
      <c r="F76" t="s">
        <v>296</v>
      </c>
      <c r="G76">
        <v>4</v>
      </c>
      <c r="H76">
        <v>4</v>
      </c>
      <c r="I76">
        <v>5</v>
      </c>
      <c r="J76" t="s">
        <v>38</v>
      </c>
    </row>
    <row r="77" spans="1:10" hidden="1" x14ac:dyDescent="0.3">
      <c r="A77" t="s">
        <v>299</v>
      </c>
      <c r="B77" s="5">
        <v>220000000</v>
      </c>
      <c r="C77" t="s">
        <v>1591</v>
      </c>
      <c r="D77" t="s">
        <v>16</v>
      </c>
      <c r="E77" t="s">
        <v>284</v>
      </c>
      <c r="F77" t="s">
        <v>289</v>
      </c>
      <c r="G77">
        <v>3</v>
      </c>
      <c r="H77">
        <v>3</v>
      </c>
      <c r="I77">
        <v>4</v>
      </c>
      <c r="J77" t="s">
        <v>19</v>
      </c>
    </row>
    <row r="78" spans="1:10" hidden="1" x14ac:dyDescent="0.3">
      <c r="A78" t="s">
        <v>302</v>
      </c>
      <c r="B78" s="5">
        <v>450000000</v>
      </c>
      <c r="C78" t="s">
        <v>1590</v>
      </c>
      <c r="D78" t="s">
        <v>16</v>
      </c>
      <c r="E78" t="s">
        <v>284</v>
      </c>
      <c r="F78" t="s">
        <v>303</v>
      </c>
      <c r="G78">
        <v>6</v>
      </c>
      <c r="H78">
        <v>6</v>
      </c>
      <c r="I78">
        <v>7</v>
      </c>
      <c r="J78" t="s">
        <v>70</v>
      </c>
    </row>
    <row r="79" spans="1:10" hidden="1" x14ac:dyDescent="0.3">
      <c r="A79" t="s">
        <v>144</v>
      </c>
      <c r="B79" s="5">
        <v>290000000</v>
      </c>
      <c r="C79" t="s">
        <v>1590</v>
      </c>
      <c r="D79" t="s">
        <v>16</v>
      </c>
      <c r="E79" t="s">
        <v>284</v>
      </c>
      <c r="F79" t="s">
        <v>306</v>
      </c>
      <c r="G79">
        <v>4</v>
      </c>
      <c r="H79">
        <v>5</v>
      </c>
      <c r="I79">
        <v>5</v>
      </c>
      <c r="J79" t="s">
        <v>38</v>
      </c>
    </row>
    <row r="80" spans="1:10" hidden="1" x14ac:dyDescent="0.3">
      <c r="A80" t="s">
        <v>309</v>
      </c>
      <c r="B80" s="5">
        <v>250000000</v>
      </c>
      <c r="C80" t="s">
        <v>1590</v>
      </c>
      <c r="D80" t="s">
        <v>16</v>
      </c>
      <c r="E80" t="s">
        <v>284</v>
      </c>
      <c r="F80" t="s">
        <v>310</v>
      </c>
      <c r="G80">
        <v>4</v>
      </c>
      <c r="H80">
        <v>4</v>
      </c>
      <c r="I80">
        <v>5</v>
      </c>
      <c r="J80" t="s">
        <v>38</v>
      </c>
    </row>
    <row r="81" spans="1:10" hidden="1" x14ac:dyDescent="0.3">
      <c r="A81" t="s">
        <v>313</v>
      </c>
      <c r="B81" s="5">
        <v>650000000</v>
      </c>
      <c r="C81" t="s">
        <v>1590</v>
      </c>
      <c r="D81" t="s">
        <v>16</v>
      </c>
      <c r="E81" t="s">
        <v>284</v>
      </c>
      <c r="F81" t="s">
        <v>289</v>
      </c>
      <c r="G81">
        <v>6</v>
      </c>
      <c r="H81">
        <v>7</v>
      </c>
      <c r="I81">
        <v>7</v>
      </c>
      <c r="J81" t="s">
        <v>38</v>
      </c>
    </row>
    <row r="82" spans="1:10" hidden="1" x14ac:dyDescent="0.3">
      <c r="A82" t="s">
        <v>316</v>
      </c>
      <c r="B82" s="5">
        <v>500000000</v>
      </c>
      <c r="C82" t="s">
        <v>1590</v>
      </c>
      <c r="D82" t="s">
        <v>16</v>
      </c>
      <c r="E82" t="s">
        <v>284</v>
      </c>
      <c r="F82" t="s">
        <v>289</v>
      </c>
      <c r="G82">
        <v>5</v>
      </c>
      <c r="H82">
        <v>6</v>
      </c>
      <c r="I82">
        <v>6</v>
      </c>
      <c r="J82" t="s">
        <v>38</v>
      </c>
    </row>
    <row r="83" spans="1:10" hidden="1" x14ac:dyDescent="0.3">
      <c r="A83" t="s">
        <v>271</v>
      </c>
      <c r="B83" s="5">
        <v>350000000</v>
      </c>
      <c r="C83" t="s">
        <v>1590</v>
      </c>
      <c r="D83" t="s">
        <v>16</v>
      </c>
      <c r="E83" t="s">
        <v>284</v>
      </c>
      <c r="F83" t="s">
        <v>303</v>
      </c>
      <c r="G83">
        <v>4</v>
      </c>
      <c r="H83">
        <v>4</v>
      </c>
      <c r="I83">
        <v>5</v>
      </c>
      <c r="J83" t="s">
        <v>19</v>
      </c>
    </row>
    <row r="84" spans="1:10" hidden="1" x14ac:dyDescent="0.3">
      <c r="A84" t="s">
        <v>321</v>
      </c>
      <c r="B84" s="5">
        <v>265000000</v>
      </c>
      <c r="C84" t="s">
        <v>1590</v>
      </c>
      <c r="D84" t="s">
        <v>16</v>
      </c>
      <c r="E84" t="s">
        <v>284</v>
      </c>
      <c r="F84" t="s">
        <v>289</v>
      </c>
      <c r="G84">
        <v>3</v>
      </c>
      <c r="H84">
        <v>3</v>
      </c>
      <c r="I84">
        <v>4</v>
      </c>
      <c r="J84" t="s">
        <v>19</v>
      </c>
    </row>
    <row r="85" spans="1:10" hidden="1" x14ac:dyDescent="0.3">
      <c r="A85" t="s">
        <v>324</v>
      </c>
      <c r="B85" s="5">
        <v>350000000</v>
      </c>
      <c r="C85" t="s">
        <v>1590</v>
      </c>
      <c r="D85" t="s">
        <v>16</v>
      </c>
      <c r="E85" t="s">
        <v>325</v>
      </c>
      <c r="F85" t="s">
        <v>326</v>
      </c>
      <c r="G85">
        <v>4</v>
      </c>
      <c r="H85">
        <v>4</v>
      </c>
      <c r="I85">
        <v>5</v>
      </c>
      <c r="J85" t="s">
        <v>29</v>
      </c>
    </row>
    <row r="86" spans="1:10" hidden="1" x14ac:dyDescent="0.3">
      <c r="A86" t="s">
        <v>329</v>
      </c>
      <c r="B86" s="5">
        <v>270000000</v>
      </c>
      <c r="C86" t="s">
        <v>1590</v>
      </c>
      <c r="D86" t="s">
        <v>16</v>
      </c>
      <c r="E86" t="s">
        <v>325</v>
      </c>
      <c r="F86" t="s">
        <v>330</v>
      </c>
      <c r="G86">
        <v>4</v>
      </c>
      <c r="H86">
        <v>4</v>
      </c>
      <c r="I86">
        <v>5</v>
      </c>
      <c r="J86" t="s">
        <v>91</v>
      </c>
    </row>
    <row r="87" spans="1:10" hidden="1" x14ac:dyDescent="0.3">
      <c r="A87" t="s">
        <v>333</v>
      </c>
      <c r="B87" s="5">
        <v>210000000</v>
      </c>
      <c r="C87" t="s">
        <v>1591</v>
      </c>
      <c r="D87" t="s">
        <v>16</v>
      </c>
      <c r="E87" t="s">
        <v>325</v>
      </c>
      <c r="F87" t="s">
        <v>334</v>
      </c>
      <c r="G87">
        <v>3</v>
      </c>
      <c r="H87">
        <v>3</v>
      </c>
      <c r="I87">
        <v>4</v>
      </c>
      <c r="J87" t="s">
        <v>91</v>
      </c>
    </row>
    <row r="88" spans="1:10" hidden="1" x14ac:dyDescent="0.3">
      <c r="A88" t="s">
        <v>337</v>
      </c>
      <c r="B88" s="5">
        <v>230000000</v>
      </c>
      <c r="C88" t="s">
        <v>1591</v>
      </c>
      <c r="D88" t="s">
        <v>16</v>
      </c>
      <c r="E88" t="s">
        <v>325</v>
      </c>
      <c r="F88" t="s">
        <v>326</v>
      </c>
      <c r="G88">
        <v>4</v>
      </c>
      <c r="H88">
        <v>4</v>
      </c>
      <c r="I88">
        <v>5</v>
      </c>
      <c r="J88" t="s">
        <v>29</v>
      </c>
    </row>
    <row r="89" spans="1:10" hidden="1" x14ac:dyDescent="0.3">
      <c r="A89" t="s">
        <v>340</v>
      </c>
      <c r="B89" s="5">
        <v>580000000</v>
      </c>
      <c r="C89" t="s">
        <v>1590</v>
      </c>
      <c r="D89" t="s">
        <v>16</v>
      </c>
      <c r="E89" t="s">
        <v>325</v>
      </c>
      <c r="F89" t="s">
        <v>326</v>
      </c>
      <c r="G89">
        <v>5</v>
      </c>
      <c r="H89">
        <v>5</v>
      </c>
      <c r="I89">
        <v>6</v>
      </c>
      <c r="J89" t="s">
        <v>38</v>
      </c>
    </row>
    <row r="90" spans="1:10" hidden="1" x14ac:dyDescent="0.3">
      <c r="A90" t="s">
        <v>343</v>
      </c>
      <c r="B90" s="5">
        <v>260000000</v>
      </c>
      <c r="C90" t="s">
        <v>1590</v>
      </c>
      <c r="D90" t="s">
        <v>16</v>
      </c>
      <c r="E90" t="s">
        <v>325</v>
      </c>
      <c r="F90" t="s">
        <v>330</v>
      </c>
      <c r="G90">
        <v>4</v>
      </c>
      <c r="H90">
        <v>5</v>
      </c>
      <c r="I90">
        <v>5</v>
      </c>
      <c r="J90" t="s">
        <v>91</v>
      </c>
    </row>
    <row r="91" spans="1:10" hidden="1" x14ac:dyDescent="0.3">
      <c r="A91" t="s">
        <v>346</v>
      </c>
      <c r="B91" s="5">
        <v>270000000</v>
      </c>
      <c r="C91" t="s">
        <v>1590</v>
      </c>
      <c r="D91" t="s">
        <v>16</v>
      </c>
      <c r="E91" t="s">
        <v>325</v>
      </c>
      <c r="F91" t="s">
        <v>326</v>
      </c>
      <c r="G91">
        <v>4</v>
      </c>
      <c r="H91">
        <v>4</v>
      </c>
      <c r="I91">
        <v>5</v>
      </c>
      <c r="J91" t="s">
        <v>193</v>
      </c>
    </row>
    <row r="92" spans="1:10" hidden="1" x14ac:dyDescent="0.3">
      <c r="A92" t="s">
        <v>349</v>
      </c>
      <c r="B92" s="5">
        <v>195000000</v>
      </c>
      <c r="C92" t="s">
        <v>1591</v>
      </c>
      <c r="D92" t="s">
        <v>16</v>
      </c>
      <c r="E92" t="s">
        <v>325</v>
      </c>
      <c r="F92" t="s">
        <v>326</v>
      </c>
      <c r="G92">
        <v>4</v>
      </c>
      <c r="H92">
        <v>4</v>
      </c>
      <c r="I92">
        <v>5</v>
      </c>
      <c r="J92" t="s">
        <v>29</v>
      </c>
    </row>
    <row r="93" spans="1:10" hidden="1" x14ac:dyDescent="0.3">
      <c r="A93" t="s">
        <v>352</v>
      </c>
      <c r="B93" s="5">
        <v>260000000</v>
      </c>
      <c r="C93" t="s">
        <v>1590</v>
      </c>
      <c r="D93" t="s">
        <v>16</v>
      </c>
      <c r="E93" t="s">
        <v>325</v>
      </c>
      <c r="F93" t="s">
        <v>326</v>
      </c>
      <c r="G93">
        <v>4</v>
      </c>
      <c r="H93">
        <v>4</v>
      </c>
      <c r="I93">
        <v>5</v>
      </c>
      <c r="J93" t="s">
        <v>38</v>
      </c>
    </row>
    <row r="94" spans="1:10" hidden="1" x14ac:dyDescent="0.3">
      <c r="A94" t="s">
        <v>355</v>
      </c>
      <c r="B94" s="5">
        <v>285000000</v>
      </c>
      <c r="C94" t="s">
        <v>1590</v>
      </c>
      <c r="D94" t="s">
        <v>16</v>
      </c>
      <c r="E94" t="s">
        <v>325</v>
      </c>
      <c r="F94" t="s">
        <v>326</v>
      </c>
      <c r="G94">
        <v>4</v>
      </c>
      <c r="H94">
        <v>4</v>
      </c>
      <c r="I94">
        <v>5</v>
      </c>
      <c r="J94" t="s">
        <v>193</v>
      </c>
    </row>
    <row r="95" spans="1:10" hidden="1" x14ac:dyDescent="0.3">
      <c r="A95" t="s">
        <v>358</v>
      </c>
      <c r="B95" s="5">
        <v>130000000</v>
      </c>
      <c r="C95" t="s">
        <v>1591</v>
      </c>
      <c r="D95" t="s">
        <v>16</v>
      </c>
      <c r="E95" t="s">
        <v>325</v>
      </c>
      <c r="F95" t="s">
        <v>359</v>
      </c>
      <c r="G95">
        <v>2</v>
      </c>
      <c r="H95">
        <v>2</v>
      </c>
      <c r="I95">
        <v>3</v>
      </c>
      <c r="J95" t="s">
        <v>19</v>
      </c>
    </row>
    <row r="96" spans="1:10" hidden="1" x14ac:dyDescent="0.3">
      <c r="A96" t="s">
        <v>362</v>
      </c>
      <c r="B96" s="5">
        <v>250000000</v>
      </c>
      <c r="C96" t="s">
        <v>1590</v>
      </c>
      <c r="D96" t="s">
        <v>16</v>
      </c>
      <c r="E96" t="s">
        <v>325</v>
      </c>
      <c r="F96" t="s">
        <v>363</v>
      </c>
      <c r="G96">
        <v>4</v>
      </c>
      <c r="H96">
        <v>4</v>
      </c>
      <c r="I96">
        <v>5</v>
      </c>
      <c r="J96" t="s">
        <v>91</v>
      </c>
    </row>
    <row r="97" spans="1:10" hidden="1" x14ac:dyDescent="0.3">
      <c r="A97" t="s">
        <v>366</v>
      </c>
      <c r="B97" s="5">
        <v>210000000</v>
      </c>
      <c r="C97" t="s">
        <v>1591</v>
      </c>
      <c r="D97" t="s">
        <v>16</v>
      </c>
      <c r="E97" t="s">
        <v>325</v>
      </c>
      <c r="F97" t="s">
        <v>326</v>
      </c>
      <c r="G97">
        <v>4</v>
      </c>
      <c r="H97">
        <v>4</v>
      </c>
      <c r="I97">
        <v>5</v>
      </c>
      <c r="J97" t="s">
        <v>29</v>
      </c>
    </row>
    <row r="98" spans="1:10" hidden="1" x14ac:dyDescent="0.3">
      <c r="A98" t="s">
        <v>369</v>
      </c>
      <c r="B98" s="5">
        <v>60000000</v>
      </c>
      <c r="C98" t="s">
        <v>1591</v>
      </c>
      <c r="D98" t="s">
        <v>16</v>
      </c>
      <c r="E98" t="s">
        <v>325</v>
      </c>
      <c r="F98" t="s">
        <v>370</v>
      </c>
      <c r="G98">
        <v>2</v>
      </c>
      <c r="H98">
        <v>3</v>
      </c>
      <c r="I98">
        <v>3</v>
      </c>
      <c r="J98" t="s">
        <v>19</v>
      </c>
    </row>
    <row r="99" spans="1:10" hidden="1" x14ac:dyDescent="0.3">
      <c r="A99" t="s">
        <v>373</v>
      </c>
      <c r="B99" s="5">
        <v>130000000</v>
      </c>
      <c r="C99" t="s">
        <v>1591</v>
      </c>
      <c r="D99" t="s">
        <v>16</v>
      </c>
      <c r="E99" t="s">
        <v>325</v>
      </c>
      <c r="F99" t="s">
        <v>326</v>
      </c>
      <c r="G99">
        <v>3</v>
      </c>
      <c r="H99">
        <v>3</v>
      </c>
      <c r="I99">
        <v>4</v>
      </c>
      <c r="J99" t="s">
        <v>19</v>
      </c>
    </row>
    <row r="100" spans="1:10" hidden="1" x14ac:dyDescent="0.3">
      <c r="A100" t="s">
        <v>376</v>
      </c>
      <c r="B100" s="5">
        <v>125000000</v>
      </c>
      <c r="C100" t="s">
        <v>1591</v>
      </c>
      <c r="D100" t="s">
        <v>16</v>
      </c>
      <c r="E100" t="s">
        <v>325</v>
      </c>
      <c r="F100" t="s">
        <v>377</v>
      </c>
      <c r="G100">
        <v>2</v>
      </c>
      <c r="H100">
        <v>2</v>
      </c>
      <c r="I100">
        <v>3</v>
      </c>
      <c r="J100" t="s">
        <v>19</v>
      </c>
    </row>
    <row r="101" spans="1:10" hidden="1" x14ac:dyDescent="0.3">
      <c r="A101" t="s">
        <v>380</v>
      </c>
      <c r="B101" s="5">
        <v>230000000</v>
      </c>
      <c r="C101" t="s">
        <v>1591</v>
      </c>
      <c r="D101" t="s">
        <v>16</v>
      </c>
      <c r="E101" t="s">
        <v>325</v>
      </c>
      <c r="F101" t="s">
        <v>381</v>
      </c>
      <c r="G101">
        <v>4</v>
      </c>
      <c r="H101">
        <v>4</v>
      </c>
      <c r="I101">
        <v>5</v>
      </c>
      <c r="J101" t="s">
        <v>29</v>
      </c>
    </row>
    <row r="102" spans="1:10" hidden="1" x14ac:dyDescent="0.3">
      <c r="A102" t="s">
        <v>384</v>
      </c>
      <c r="B102" s="5">
        <v>250000000</v>
      </c>
      <c r="C102" t="s">
        <v>1590</v>
      </c>
      <c r="D102" t="s">
        <v>16</v>
      </c>
      <c r="E102" t="s">
        <v>325</v>
      </c>
      <c r="F102" t="s">
        <v>385</v>
      </c>
      <c r="G102">
        <v>4</v>
      </c>
      <c r="H102">
        <v>5</v>
      </c>
      <c r="I102">
        <v>6</v>
      </c>
      <c r="J102" t="s">
        <v>29</v>
      </c>
    </row>
    <row r="103" spans="1:10" hidden="1" x14ac:dyDescent="0.3">
      <c r="A103" t="s">
        <v>388</v>
      </c>
      <c r="B103" s="5">
        <v>400000000</v>
      </c>
      <c r="C103" t="s">
        <v>1590</v>
      </c>
      <c r="D103" t="s">
        <v>16</v>
      </c>
      <c r="E103" t="s">
        <v>389</v>
      </c>
      <c r="F103" t="s">
        <v>390</v>
      </c>
      <c r="G103">
        <v>4</v>
      </c>
      <c r="H103">
        <v>4</v>
      </c>
      <c r="I103">
        <v>5</v>
      </c>
      <c r="J103" t="s">
        <v>91</v>
      </c>
    </row>
    <row r="104" spans="1:10" hidden="1" x14ac:dyDescent="0.3">
      <c r="A104" t="s">
        <v>393</v>
      </c>
      <c r="B104" s="5">
        <v>65000000</v>
      </c>
      <c r="C104" t="s">
        <v>1591</v>
      </c>
      <c r="D104" t="s">
        <v>16</v>
      </c>
      <c r="E104" t="s">
        <v>389</v>
      </c>
      <c r="F104" t="s">
        <v>394</v>
      </c>
      <c r="G104">
        <v>1</v>
      </c>
      <c r="H104">
        <v>1</v>
      </c>
      <c r="I104">
        <v>2</v>
      </c>
      <c r="J104" t="s">
        <v>19</v>
      </c>
    </row>
    <row r="105" spans="1:10" hidden="1" x14ac:dyDescent="0.3">
      <c r="A105" t="s">
        <v>397</v>
      </c>
      <c r="B105" s="5">
        <v>580000000</v>
      </c>
      <c r="C105" t="s">
        <v>1590</v>
      </c>
      <c r="D105" t="s">
        <v>16</v>
      </c>
      <c r="E105" t="s">
        <v>389</v>
      </c>
      <c r="F105" t="s">
        <v>398</v>
      </c>
      <c r="G105">
        <v>5</v>
      </c>
      <c r="H105">
        <v>5</v>
      </c>
      <c r="I105">
        <v>6</v>
      </c>
      <c r="J105" t="s">
        <v>91</v>
      </c>
    </row>
    <row r="106" spans="1:10" hidden="1" x14ac:dyDescent="0.3">
      <c r="A106" t="s">
        <v>183</v>
      </c>
      <c r="B106" s="5">
        <v>245000000</v>
      </c>
      <c r="C106" t="s">
        <v>1591</v>
      </c>
      <c r="D106" t="s">
        <v>16</v>
      </c>
      <c r="E106" t="s">
        <v>389</v>
      </c>
      <c r="F106" t="s">
        <v>401</v>
      </c>
      <c r="G106">
        <v>4</v>
      </c>
      <c r="H106">
        <v>4</v>
      </c>
      <c r="I106">
        <v>5</v>
      </c>
      <c r="J106" t="s">
        <v>29</v>
      </c>
    </row>
    <row r="107" spans="1:10" hidden="1" x14ac:dyDescent="0.3">
      <c r="A107" t="s">
        <v>404</v>
      </c>
      <c r="B107" s="5">
        <v>145000000</v>
      </c>
      <c r="C107" t="s">
        <v>1591</v>
      </c>
      <c r="D107" t="s">
        <v>16</v>
      </c>
      <c r="E107" t="s">
        <v>389</v>
      </c>
      <c r="F107" t="s">
        <v>405</v>
      </c>
      <c r="G107">
        <v>4</v>
      </c>
      <c r="H107">
        <v>4</v>
      </c>
      <c r="I107">
        <v>5</v>
      </c>
      <c r="J107" t="s">
        <v>193</v>
      </c>
    </row>
    <row r="108" spans="1:10" hidden="1" x14ac:dyDescent="0.3">
      <c r="A108" t="s">
        <v>408</v>
      </c>
      <c r="B108" s="5">
        <v>115000000</v>
      </c>
      <c r="C108" t="s">
        <v>1591</v>
      </c>
      <c r="D108" t="s">
        <v>16</v>
      </c>
      <c r="E108" t="s">
        <v>389</v>
      </c>
      <c r="F108" t="s">
        <v>409</v>
      </c>
      <c r="G108">
        <v>3</v>
      </c>
      <c r="H108">
        <v>3</v>
      </c>
      <c r="I108">
        <v>3</v>
      </c>
      <c r="J108" t="s">
        <v>193</v>
      </c>
    </row>
    <row r="109" spans="1:10" hidden="1" x14ac:dyDescent="0.3">
      <c r="A109" t="s">
        <v>116</v>
      </c>
      <c r="B109" s="5">
        <v>250000000</v>
      </c>
      <c r="C109" t="s">
        <v>1590</v>
      </c>
      <c r="D109" t="s">
        <v>16</v>
      </c>
      <c r="E109" t="s">
        <v>389</v>
      </c>
      <c r="F109" t="s">
        <v>412</v>
      </c>
      <c r="G109">
        <v>4</v>
      </c>
      <c r="H109">
        <v>4</v>
      </c>
      <c r="I109">
        <v>4</v>
      </c>
      <c r="J109" t="s">
        <v>70</v>
      </c>
    </row>
    <row r="110" spans="1:10" hidden="1" x14ac:dyDescent="0.3">
      <c r="A110" t="s">
        <v>77</v>
      </c>
      <c r="B110" s="5">
        <v>300000000</v>
      </c>
      <c r="C110" t="s">
        <v>1590</v>
      </c>
      <c r="D110" t="s">
        <v>16</v>
      </c>
      <c r="E110" t="s">
        <v>389</v>
      </c>
      <c r="F110" t="s">
        <v>412</v>
      </c>
      <c r="G110">
        <v>4</v>
      </c>
      <c r="H110">
        <v>4</v>
      </c>
      <c r="I110">
        <v>4</v>
      </c>
      <c r="J110" t="s">
        <v>29</v>
      </c>
    </row>
    <row r="111" spans="1:10" hidden="1" x14ac:dyDescent="0.3">
      <c r="A111" t="s">
        <v>417</v>
      </c>
      <c r="B111" s="5">
        <v>220000000</v>
      </c>
      <c r="C111" t="s">
        <v>1591</v>
      </c>
      <c r="D111" t="s">
        <v>16</v>
      </c>
      <c r="E111" t="s">
        <v>389</v>
      </c>
      <c r="F111" t="s">
        <v>418</v>
      </c>
      <c r="G111">
        <v>5</v>
      </c>
      <c r="H111">
        <v>5</v>
      </c>
      <c r="I111">
        <v>4</v>
      </c>
      <c r="J111" t="s">
        <v>91</v>
      </c>
    </row>
    <row r="112" spans="1:10" hidden="1" x14ac:dyDescent="0.3">
      <c r="A112" t="s">
        <v>421</v>
      </c>
      <c r="B112" s="5">
        <v>170000000</v>
      </c>
      <c r="C112" t="s">
        <v>1591</v>
      </c>
      <c r="D112" t="s">
        <v>16</v>
      </c>
      <c r="E112" t="s">
        <v>389</v>
      </c>
      <c r="F112" t="s">
        <v>422</v>
      </c>
      <c r="G112">
        <v>3</v>
      </c>
      <c r="H112">
        <v>3</v>
      </c>
      <c r="I112">
        <v>4</v>
      </c>
      <c r="J112" t="s">
        <v>193</v>
      </c>
    </row>
    <row r="113" spans="1:10" hidden="1" x14ac:dyDescent="0.3">
      <c r="A113" t="s">
        <v>373</v>
      </c>
      <c r="B113" s="5">
        <v>170000000</v>
      </c>
      <c r="C113" t="s">
        <v>1591</v>
      </c>
      <c r="D113" t="s">
        <v>16</v>
      </c>
      <c r="E113" t="s">
        <v>389</v>
      </c>
      <c r="F113" t="s">
        <v>425</v>
      </c>
      <c r="G113">
        <v>3</v>
      </c>
      <c r="H113">
        <v>3</v>
      </c>
      <c r="I113">
        <v>3</v>
      </c>
      <c r="J113" t="s">
        <v>19</v>
      </c>
    </row>
    <row r="114" spans="1:10" hidden="1" x14ac:dyDescent="0.3">
      <c r="A114" t="s">
        <v>428</v>
      </c>
      <c r="B114" s="5">
        <v>160000000</v>
      </c>
      <c r="C114" t="s">
        <v>1591</v>
      </c>
      <c r="D114" t="s">
        <v>16</v>
      </c>
      <c r="E114" t="s">
        <v>389</v>
      </c>
      <c r="F114" t="s">
        <v>429</v>
      </c>
      <c r="G114">
        <v>3</v>
      </c>
      <c r="H114">
        <v>3</v>
      </c>
      <c r="I114">
        <v>4</v>
      </c>
      <c r="J114" t="s">
        <v>70</v>
      </c>
    </row>
    <row r="115" spans="1:10" hidden="1" x14ac:dyDescent="0.3">
      <c r="A115" t="s">
        <v>432</v>
      </c>
      <c r="B115" s="5">
        <v>490000000</v>
      </c>
      <c r="C115" t="s">
        <v>1590</v>
      </c>
      <c r="D115" t="s">
        <v>16</v>
      </c>
      <c r="E115" t="s">
        <v>389</v>
      </c>
      <c r="F115" t="s">
        <v>398</v>
      </c>
      <c r="G115">
        <v>5</v>
      </c>
      <c r="H115">
        <v>5</v>
      </c>
      <c r="I115">
        <v>4</v>
      </c>
      <c r="J115" t="s">
        <v>38</v>
      </c>
    </row>
    <row r="116" spans="1:10" hidden="1" x14ac:dyDescent="0.3">
      <c r="A116" t="s">
        <v>15</v>
      </c>
      <c r="B116" s="5">
        <v>80000000</v>
      </c>
      <c r="C116" t="s">
        <v>1591</v>
      </c>
      <c r="D116" t="s">
        <v>16</v>
      </c>
      <c r="E116" t="s">
        <v>389</v>
      </c>
      <c r="F116" t="s">
        <v>435</v>
      </c>
      <c r="G116">
        <v>3</v>
      </c>
      <c r="H116">
        <v>3</v>
      </c>
      <c r="I116">
        <v>5</v>
      </c>
      <c r="J116" t="s">
        <v>19</v>
      </c>
    </row>
    <row r="117" spans="1:10" hidden="1" x14ac:dyDescent="0.3">
      <c r="A117" t="s">
        <v>438</v>
      </c>
      <c r="B117" s="5">
        <v>300000000</v>
      </c>
      <c r="C117" t="s">
        <v>1590</v>
      </c>
      <c r="D117" t="s">
        <v>16</v>
      </c>
      <c r="E117" t="s">
        <v>389</v>
      </c>
      <c r="F117" t="s">
        <v>439</v>
      </c>
      <c r="G117">
        <v>4</v>
      </c>
      <c r="H117">
        <v>4</v>
      </c>
      <c r="I117">
        <v>4</v>
      </c>
      <c r="J117" t="s">
        <v>38</v>
      </c>
    </row>
    <row r="118" spans="1:10" hidden="1" x14ac:dyDescent="0.3">
      <c r="A118" t="s">
        <v>254</v>
      </c>
      <c r="B118" s="5">
        <v>300000000</v>
      </c>
      <c r="C118" t="s">
        <v>1590</v>
      </c>
      <c r="D118" t="s">
        <v>16</v>
      </c>
      <c r="E118" t="s">
        <v>389</v>
      </c>
      <c r="F118" t="s">
        <v>412</v>
      </c>
      <c r="G118">
        <v>4</v>
      </c>
      <c r="H118">
        <v>4</v>
      </c>
      <c r="I118">
        <v>2</v>
      </c>
      <c r="J118" t="s">
        <v>29</v>
      </c>
    </row>
    <row r="119" spans="1:10" hidden="1" x14ac:dyDescent="0.3">
      <c r="A119" t="s">
        <v>444</v>
      </c>
      <c r="B119" s="5">
        <v>300000000</v>
      </c>
      <c r="C119" t="s">
        <v>1590</v>
      </c>
      <c r="D119" t="s">
        <v>16</v>
      </c>
      <c r="E119" t="s">
        <v>445</v>
      </c>
      <c r="F119" t="s">
        <v>446</v>
      </c>
      <c r="G119">
        <v>4</v>
      </c>
      <c r="H119">
        <v>4</v>
      </c>
      <c r="I119">
        <v>3</v>
      </c>
      <c r="J119" t="s">
        <v>38</v>
      </c>
    </row>
    <row r="120" spans="1:10" hidden="1" x14ac:dyDescent="0.3">
      <c r="A120" t="s">
        <v>449</v>
      </c>
      <c r="B120" s="5">
        <v>175000000</v>
      </c>
      <c r="C120" t="s">
        <v>1591</v>
      </c>
      <c r="D120" t="s">
        <v>16</v>
      </c>
      <c r="E120" t="s">
        <v>445</v>
      </c>
      <c r="F120" t="s">
        <v>450</v>
      </c>
      <c r="G120">
        <v>3</v>
      </c>
      <c r="H120">
        <v>3</v>
      </c>
      <c r="I120">
        <v>2</v>
      </c>
      <c r="J120" t="s">
        <v>193</v>
      </c>
    </row>
    <row r="121" spans="1:10" hidden="1" x14ac:dyDescent="0.3">
      <c r="A121" t="s">
        <v>453</v>
      </c>
      <c r="B121" s="5">
        <v>370000000</v>
      </c>
      <c r="C121" t="s">
        <v>1590</v>
      </c>
      <c r="D121" t="s">
        <v>16</v>
      </c>
      <c r="E121" t="s">
        <v>445</v>
      </c>
      <c r="F121" t="s">
        <v>454</v>
      </c>
      <c r="G121">
        <v>6</v>
      </c>
      <c r="H121">
        <v>6</v>
      </c>
      <c r="I121">
        <v>3</v>
      </c>
      <c r="J121" t="s">
        <v>38</v>
      </c>
    </row>
    <row r="122" spans="1:10" hidden="1" x14ac:dyDescent="0.3">
      <c r="A122" t="s">
        <v>138</v>
      </c>
      <c r="B122" s="5">
        <v>670000000</v>
      </c>
      <c r="C122" t="s">
        <v>1590</v>
      </c>
      <c r="D122" t="s">
        <v>16</v>
      </c>
      <c r="E122" t="s">
        <v>445</v>
      </c>
      <c r="F122" t="s">
        <v>457</v>
      </c>
      <c r="G122">
        <v>5</v>
      </c>
      <c r="H122">
        <v>5</v>
      </c>
      <c r="I122">
        <v>5</v>
      </c>
      <c r="J122" t="s">
        <v>19</v>
      </c>
    </row>
    <row r="123" spans="1:10" hidden="1" x14ac:dyDescent="0.3">
      <c r="A123" t="s">
        <v>460</v>
      </c>
      <c r="B123" s="5">
        <v>330000000</v>
      </c>
      <c r="C123" t="s">
        <v>1590</v>
      </c>
      <c r="D123" t="s">
        <v>16</v>
      </c>
      <c r="E123" t="s">
        <v>445</v>
      </c>
      <c r="F123" t="s">
        <v>461</v>
      </c>
      <c r="G123">
        <v>5</v>
      </c>
      <c r="H123">
        <v>5</v>
      </c>
      <c r="I123">
        <v>4</v>
      </c>
      <c r="J123" t="s">
        <v>38</v>
      </c>
    </row>
    <row r="124" spans="1:10" hidden="1" x14ac:dyDescent="0.3">
      <c r="A124" t="s">
        <v>193</v>
      </c>
      <c r="B124" s="5">
        <v>260000000</v>
      </c>
      <c r="C124" t="s">
        <v>1590</v>
      </c>
      <c r="D124" t="s">
        <v>16</v>
      </c>
      <c r="E124" t="s">
        <v>445</v>
      </c>
      <c r="F124" t="s">
        <v>464</v>
      </c>
      <c r="G124">
        <v>3</v>
      </c>
      <c r="H124">
        <v>3</v>
      </c>
      <c r="I124">
        <v>5</v>
      </c>
      <c r="J124" t="s">
        <v>193</v>
      </c>
    </row>
    <row r="125" spans="1:10" hidden="1" x14ac:dyDescent="0.3">
      <c r="A125" t="s">
        <v>467</v>
      </c>
      <c r="B125" s="5">
        <v>550000000</v>
      </c>
      <c r="C125" t="s">
        <v>1590</v>
      </c>
      <c r="D125" t="s">
        <v>16</v>
      </c>
      <c r="E125" t="s">
        <v>445</v>
      </c>
      <c r="F125" t="s">
        <v>461</v>
      </c>
      <c r="G125">
        <v>5</v>
      </c>
      <c r="H125">
        <v>5</v>
      </c>
      <c r="I125">
        <v>6</v>
      </c>
      <c r="J125" t="s">
        <v>38</v>
      </c>
    </row>
    <row r="126" spans="1:10" hidden="1" x14ac:dyDescent="0.3">
      <c r="A126" t="s">
        <v>470</v>
      </c>
      <c r="B126" s="5">
        <v>165000000</v>
      </c>
      <c r="C126" t="s">
        <v>1591</v>
      </c>
      <c r="D126" t="s">
        <v>16</v>
      </c>
      <c r="E126" t="s">
        <v>445</v>
      </c>
      <c r="F126" t="s">
        <v>471</v>
      </c>
      <c r="G126">
        <v>3</v>
      </c>
      <c r="H126">
        <v>3</v>
      </c>
      <c r="I126">
        <v>4</v>
      </c>
      <c r="J126" t="s">
        <v>193</v>
      </c>
    </row>
    <row r="127" spans="1:10" hidden="1" x14ac:dyDescent="0.3">
      <c r="A127" t="s">
        <v>340</v>
      </c>
      <c r="B127" s="5">
        <v>330000000</v>
      </c>
      <c r="C127" t="s">
        <v>1590</v>
      </c>
      <c r="D127" t="s">
        <v>16</v>
      </c>
      <c r="E127" t="s">
        <v>445</v>
      </c>
      <c r="F127" t="s">
        <v>474</v>
      </c>
      <c r="G127">
        <v>5</v>
      </c>
      <c r="H127">
        <v>5</v>
      </c>
      <c r="I127">
        <v>6</v>
      </c>
      <c r="J127" t="s">
        <v>38</v>
      </c>
    </row>
    <row r="128" spans="1:10" hidden="1" x14ac:dyDescent="0.3">
      <c r="A128" t="s">
        <v>380</v>
      </c>
      <c r="B128" s="5">
        <v>120000000</v>
      </c>
      <c r="C128" t="s">
        <v>1591</v>
      </c>
      <c r="D128" t="s">
        <v>16</v>
      </c>
      <c r="E128" t="s">
        <v>445</v>
      </c>
      <c r="F128" t="s">
        <v>446</v>
      </c>
      <c r="G128">
        <v>4</v>
      </c>
      <c r="H128">
        <v>4</v>
      </c>
      <c r="I128">
        <v>5</v>
      </c>
      <c r="J128" t="s">
        <v>29</v>
      </c>
    </row>
    <row r="129" spans="1:10" hidden="1" x14ac:dyDescent="0.3">
      <c r="A129" t="s">
        <v>479</v>
      </c>
      <c r="B129" s="5">
        <v>220000000</v>
      </c>
      <c r="C129" t="s">
        <v>1591</v>
      </c>
      <c r="D129" t="s">
        <v>16</v>
      </c>
      <c r="E129" t="s">
        <v>445</v>
      </c>
      <c r="F129" t="s">
        <v>446</v>
      </c>
      <c r="G129">
        <v>5</v>
      </c>
      <c r="H129">
        <v>6</v>
      </c>
      <c r="I129">
        <v>6</v>
      </c>
      <c r="J129" t="s">
        <v>38</v>
      </c>
    </row>
    <row r="130" spans="1:10" hidden="1" x14ac:dyDescent="0.3">
      <c r="A130" t="s">
        <v>482</v>
      </c>
      <c r="B130" s="5">
        <v>110000000</v>
      </c>
      <c r="C130" t="s">
        <v>1591</v>
      </c>
      <c r="D130" t="s">
        <v>16</v>
      </c>
      <c r="E130" t="s">
        <v>445</v>
      </c>
      <c r="F130" t="s">
        <v>446</v>
      </c>
      <c r="G130">
        <v>3</v>
      </c>
      <c r="H130">
        <v>3</v>
      </c>
      <c r="I130">
        <v>4</v>
      </c>
      <c r="J130" t="s">
        <v>38</v>
      </c>
    </row>
    <row r="131" spans="1:10" hidden="1" x14ac:dyDescent="0.3">
      <c r="A131" t="s">
        <v>107</v>
      </c>
      <c r="B131" s="5">
        <v>450000000</v>
      </c>
      <c r="C131" t="s">
        <v>1590</v>
      </c>
      <c r="D131" t="s">
        <v>16</v>
      </c>
      <c r="E131" t="s">
        <v>445</v>
      </c>
      <c r="F131" t="s">
        <v>446</v>
      </c>
      <c r="G131">
        <v>5</v>
      </c>
      <c r="H131">
        <v>5</v>
      </c>
      <c r="I131">
        <v>6</v>
      </c>
      <c r="J131" t="s">
        <v>38</v>
      </c>
    </row>
    <row r="132" spans="1:10" hidden="1" x14ac:dyDescent="0.3">
      <c r="A132" t="s">
        <v>417</v>
      </c>
      <c r="B132" s="5">
        <v>170000000</v>
      </c>
      <c r="C132" t="s">
        <v>1591</v>
      </c>
      <c r="D132" t="s">
        <v>16</v>
      </c>
      <c r="E132" t="s">
        <v>445</v>
      </c>
      <c r="F132" t="s">
        <v>487</v>
      </c>
      <c r="G132">
        <v>5</v>
      </c>
      <c r="H132">
        <v>5</v>
      </c>
      <c r="I132">
        <v>6</v>
      </c>
      <c r="J132" t="s">
        <v>91</v>
      </c>
    </row>
    <row r="133" spans="1:10" hidden="1" x14ac:dyDescent="0.3">
      <c r="A133" t="s">
        <v>227</v>
      </c>
      <c r="B133" s="5">
        <v>50000000</v>
      </c>
      <c r="C133" t="s">
        <v>1591</v>
      </c>
      <c r="D133" t="s">
        <v>16</v>
      </c>
      <c r="E133" t="s">
        <v>445</v>
      </c>
      <c r="F133" t="s">
        <v>490</v>
      </c>
      <c r="G133">
        <v>2</v>
      </c>
      <c r="H133">
        <v>2</v>
      </c>
      <c r="I133">
        <v>3</v>
      </c>
      <c r="J133" t="s">
        <v>19</v>
      </c>
    </row>
    <row r="134" spans="1:10" hidden="1" x14ac:dyDescent="0.3">
      <c r="A134" t="s">
        <v>493</v>
      </c>
      <c r="B134" s="5">
        <v>650000000</v>
      </c>
      <c r="C134" t="s">
        <v>1590</v>
      </c>
      <c r="D134" t="s">
        <v>16</v>
      </c>
      <c r="E134" t="s">
        <v>445</v>
      </c>
      <c r="F134" t="s">
        <v>494</v>
      </c>
      <c r="G134">
        <v>7</v>
      </c>
      <c r="H134">
        <v>6</v>
      </c>
      <c r="I134">
        <v>6</v>
      </c>
      <c r="J134" t="s">
        <v>19</v>
      </c>
    </row>
    <row r="135" spans="1:10" hidden="1" x14ac:dyDescent="0.3">
      <c r="A135" t="s">
        <v>497</v>
      </c>
      <c r="B135" s="5">
        <v>200000000</v>
      </c>
      <c r="C135" t="s">
        <v>1591</v>
      </c>
      <c r="D135" t="s">
        <v>16</v>
      </c>
      <c r="E135" t="s">
        <v>445</v>
      </c>
      <c r="F135" t="s">
        <v>446</v>
      </c>
      <c r="G135">
        <v>4</v>
      </c>
      <c r="H135">
        <v>4</v>
      </c>
      <c r="I135">
        <v>4</v>
      </c>
      <c r="J135" t="s">
        <v>70</v>
      </c>
    </row>
    <row r="136" spans="1:10" hidden="1" x14ac:dyDescent="0.3">
      <c r="A136" t="s">
        <v>500</v>
      </c>
      <c r="B136" s="5">
        <v>170000000</v>
      </c>
      <c r="C136" t="s">
        <v>1591</v>
      </c>
      <c r="D136" t="s">
        <v>16</v>
      </c>
      <c r="E136" t="s">
        <v>501</v>
      </c>
      <c r="F136" t="s">
        <v>502</v>
      </c>
      <c r="G136">
        <v>3</v>
      </c>
      <c r="H136">
        <v>3</v>
      </c>
      <c r="I136">
        <v>4</v>
      </c>
      <c r="J136" t="s">
        <v>91</v>
      </c>
    </row>
    <row r="137" spans="1:10" hidden="1" x14ac:dyDescent="0.3">
      <c r="A137" t="s">
        <v>223</v>
      </c>
      <c r="B137" s="5">
        <v>120000000</v>
      </c>
      <c r="C137" t="s">
        <v>1591</v>
      </c>
      <c r="D137" t="s">
        <v>16</v>
      </c>
      <c r="E137" t="s">
        <v>501</v>
      </c>
      <c r="F137" t="s">
        <v>505</v>
      </c>
      <c r="G137">
        <v>3</v>
      </c>
      <c r="H137">
        <v>3</v>
      </c>
      <c r="I137">
        <v>4</v>
      </c>
      <c r="J137" t="s">
        <v>91</v>
      </c>
    </row>
    <row r="138" spans="1:10" hidden="1" x14ac:dyDescent="0.3">
      <c r="A138" t="s">
        <v>508</v>
      </c>
      <c r="B138" s="5">
        <v>400000000</v>
      </c>
      <c r="C138" t="s">
        <v>1590</v>
      </c>
      <c r="D138" t="s">
        <v>16</v>
      </c>
      <c r="E138" t="s">
        <v>501</v>
      </c>
      <c r="F138" t="s">
        <v>502</v>
      </c>
      <c r="G138">
        <v>4</v>
      </c>
      <c r="H138">
        <v>4</v>
      </c>
      <c r="I138">
        <v>4</v>
      </c>
      <c r="J138" t="s">
        <v>38</v>
      </c>
    </row>
    <row r="139" spans="1:10" hidden="1" x14ac:dyDescent="0.3">
      <c r="A139" t="s">
        <v>321</v>
      </c>
      <c r="B139" s="5">
        <v>110000000</v>
      </c>
      <c r="C139" t="s">
        <v>1591</v>
      </c>
      <c r="D139" t="s">
        <v>16</v>
      </c>
      <c r="E139" t="s">
        <v>501</v>
      </c>
      <c r="F139" t="s">
        <v>511</v>
      </c>
      <c r="G139">
        <v>3</v>
      </c>
      <c r="H139">
        <v>3</v>
      </c>
      <c r="I139">
        <v>3</v>
      </c>
      <c r="J139" t="s">
        <v>19</v>
      </c>
    </row>
    <row r="140" spans="1:10" hidden="1" x14ac:dyDescent="0.3">
      <c r="A140" t="s">
        <v>514</v>
      </c>
      <c r="B140" s="5">
        <v>300000000</v>
      </c>
      <c r="C140" t="s">
        <v>1590</v>
      </c>
      <c r="D140" t="s">
        <v>16</v>
      </c>
      <c r="E140" t="s">
        <v>501</v>
      </c>
      <c r="F140" t="s">
        <v>515</v>
      </c>
      <c r="G140">
        <v>4</v>
      </c>
      <c r="H140">
        <v>4</v>
      </c>
      <c r="I140">
        <v>4</v>
      </c>
      <c r="J140" t="s">
        <v>38</v>
      </c>
    </row>
    <row r="141" spans="1:10" hidden="1" x14ac:dyDescent="0.3">
      <c r="A141" t="s">
        <v>518</v>
      </c>
      <c r="B141" s="5">
        <v>475000000</v>
      </c>
      <c r="C141" t="s">
        <v>1590</v>
      </c>
      <c r="D141" t="s">
        <v>16</v>
      </c>
      <c r="E141" t="s">
        <v>501</v>
      </c>
      <c r="F141" t="s">
        <v>519</v>
      </c>
      <c r="G141">
        <v>5</v>
      </c>
      <c r="H141">
        <v>5</v>
      </c>
      <c r="I141">
        <v>4</v>
      </c>
      <c r="J141" t="s">
        <v>38</v>
      </c>
    </row>
    <row r="142" spans="1:10" hidden="1" x14ac:dyDescent="0.3">
      <c r="A142" t="s">
        <v>522</v>
      </c>
      <c r="B142" s="5">
        <v>250000000</v>
      </c>
      <c r="C142" t="s">
        <v>1590</v>
      </c>
      <c r="D142" t="s">
        <v>16</v>
      </c>
      <c r="E142" t="s">
        <v>501</v>
      </c>
      <c r="F142" t="s">
        <v>515</v>
      </c>
      <c r="G142">
        <v>4</v>
      </c>
      <c r="H142">
        <v>4</v>
      </c>
      <c r="I142">
        <v>5</v>
      </c>
      <c r="J142" t="s">
        <v>38</v>
      </c>
    </row>
    <row r="143" spans="1:10" hidden="1" x14ac:dyDescent="0.3">
      <c r="A143" t="s">
        <v>525</v>
      </c>
      <c r="B143" s="5">
        <v>240000000</v>
      </c>
      <c r="C143" t="s">
        <v>1591</v>
      </c>
      <c r="D143" t="s">
        <v>16</v>
      </c>
      <c r="E143" t="s">
        <v>501</v>
      </c>
      <c r="F143" t="s">
        <v>526</v>
      </c>
      <c r="G143">
        <v>4</v>
      </c>
      <c r="H143">
        <v>4</v>
      </c>
      <c r="I143">
        <v>4</v>
      </c>
      <c r="J143" t="s">
        <v>193</v>
      </c>
    </row>
    <row r="144" spans="1:10" hidden="1" x14ac:dyDescent="0.3">
      <c r="A144" t="s">
        <v>352</v>
      </c>
      <c r="B144" s="5">
        <v>350000000</v>
      </c>
      <c r="C144" t="s">
        <v>1590</v>
      </c>
      <c r="D144" t="s">
        <v>16</v>
      </c>
      <c r="E144" t="s">
        <v>501</v>
      </c>
      <c r="F144" t="s">
        <v>502</v>
      </c>
      <c r="G144">
        <v>4</v>
      </c>
      <c r="H144">
        <v>4</v>
      </c>
      <c r="I144">
        <v>2</v>
      </c>
      <c r="J144" t="s">
        <v>38</v>
      </c>
    </row>
    <row r="145" spans="1:10" hidden="1" x14ac:dyDescent="0.3">
      <c r="A145" t="s">
        <v>531</v>
      </c>
      <c r="B145" s="5">
        <v>200000000</v>
      </c>
      <c r="C145" t="s">
        <v>1591</v>
      </c>
      <c r="D145" t="s">
        <v>16</v>
      </c>
      <c r="E145" t="s">
        <v>501</v>
      </c>
      <c r="F145" t="s">
        <v>502</v>
      </c>
      <c r="G145">
        <v>4</v>
      </c>
      <c r="H145">
        <v>4</v>
      </c>
      <c r="I145">
        <v>3</v>
      </c>
      <c r="J145" t="s">
        <v>38</v>
      </c>
    </row>
    <row r="146" spans="1:10" hidden="1" x14ac:dyDescent="0.3">
      <c r="A146" t="s">
        <v>15</v>
      </c>
      <c r="B146" s="5">
        <v>150000000</v>
      </c>
      <c r="C146" t="s">
        <v>1591</v>
      </c>
      <c r="D146" t="s">
        <v>16</v>
      </c>
      <c r="E146" t="s">
        <v>501</v>
      </c>
      <c r="F146" t="s">
        <v>534</v>
      </c>
      <c r="G146">
        <v>3</v>
      </c>
      <c r="H146">
        <v>3</v>
      </c>
      <c r="I146">
        <v>2</v>
      </c>
      <c r="J146" t="s">
        <v>19</v>
      </c>
    </row>
    <row r="147" spans="1:10" hidden="1" x14ac:dyDescent="0.3">
      <c r="A147" t="s">
        <v>537</v>
      </c>
      <c r="B147" s="5">
        <v>210000000</v>
      </c>
      <c r="C147" t="s">
        <v>1591</v>
      </c>
      <c r="D147" t="s">
        <v>16</v>
      </c>
      <c r="E147" t="s">
        <v>501</v>
      </c>
      <c r="F147" t="s">
        <v>538</v>
      </c>
      <c r="G147">
        <v>4</v>
      </c>
      <c r="H147">
        <v>4</v>
      </c>
      <c r="I147">
        <v>3</v>
      </c>
      <c r="J147" t="s">
        <v>19</v>
      </c>
    </row>
    <row r="148" spans="1:10" hidden="1" x14ac:dyDescent="0.3">
      <c r="A148" t="s">
        <v>541</v>
      </c>
      <c r="B148" s="5">
        <v>180000000</v>
      </c>
      <c r="C148" t="s">
        <v>1591</v>
      </c>
      <c r="D148" t="s">
        <v>16</v>
      </c>
      <c r="E148" t="s">
        <v>501</v>
      </c>
      <c r="F148" t="s">
        <v>542</v>
      </c>
      <c r="G148">
        <v>4</v>
      </c>
      <c r="H148">
        <v>4</v>
      </c>
      <c r="I148">
        <v>5</v>
      </c>
      <c r="J148" t="s">
        <v>70</v>
      </c>
    </row>
    <row r="149" spans="1:10" hidden="1" x14ac:dyDescent="0.3">
      <c r="A149" t="s">
        <v>545</v>
      </c>
      <c r="B149" s="5">
        <v>100000000</v>
      </c>
      <c r="C149" t="s">
        <v>1591</v>
      </c>
      <c r="D149" t="s">
        <v>16</v>
      </c>
      <c r="E149" t="s">
        <v>501</v>
      </c>
      <c r="F149" t="s">
        <v>546</v>
      </c>
      <c r="G149">
        <v>3</v>
      </c>
      <c r="H149">
        <v>3</v>
      </c>
      <c r="I149">
        <v>4</v>
      </c>
      <c r="J149" t="s">
        <v>193</v>
      </c>
    </row>
    <row r="150" spans="1:10" hidden="1" x14ac:dyDescent="0.3">
      <c r="A150" t="s">
        <v>549</v>
      </c>
      <c r="B150" s="5">
        <v>110000000</v>
      </c>
      <c r="C150" t="s">
        <v>1591</v>
      </c>
      <c r="D150" t="s">
        <v>16</v>
      </c>
      <c r="E150" t="s">
        <v>501</v>
      </c>
      <c r="F150" t="s">
        <v>550</v>
      </c>
      <c r="G150">
        <v>3</v>
      </c>
      <c r="H150">
        <v>3</v>
      </c>
      <c r="I150">
        <v>5</v>
      </c>
      <c r="J150" t="s">
        <v>91</v>
      </c>
    </row>
    <row r="151" spans="1:10" hidden="1" x14ac:dyDescent="0.3">
      <c r="A151" t="s">
        <v>321</v>
      </c>
      <c r="B151" s="5">
        <v>65000000</v>
      </c>
      <c r="C151" t="s">
        <v>1591</v>
      </c>
      <c r="D151" t="s">
        <v>16</v>
      </c>
      <c r="E151" t="s">
        <v>501</v>
      </c>
      <c r="F151" t="s">
        <v>502</v>
      </c>
      <c r="G151">
        <v>3</v>
      </c>
      <c r="H151">
        <v>3</v>
      </c>
      <c r="I151">
        <v>4</v>
      </c>
      <c r="J151" t="s">
        <v>19</v>
      </c>
    </row>
    <row r="152" spans="1:10" hidden="1" x14ac:dyDescent="0.3">
      <c r="A152" t="s">
        <v>15</v>
      </c>
      <c r="B152" s="5">
        <v>60000000</v>
      </c>
      <c r="C152" t="s">
        <v>1591</v>
      </c>
      <c r="D152" t="s">
        <v>16</v>
      </c>
      <c r="E152" t="s">
        <v>501</v>
      </c>
      <c r="F152" t="s">
        <v>555</v>
      </c>
      <c r="G152">
        <v>3</v>
      </c>
      <c r="H152">
        <v>3</v>
      </c>
      <c r="I152">
        <v>4</v>
      </c>
      <c r="J152" t="s">
        <v>19</v>
      </c>
    </row>
    <row r="153" spans="1:10" hidden="1" x14ac:dyDescent="0.3">
      <c r="A153" t="s">
        <v>558</v>
      </c>
      <c r="B153" s="5">
        <v>95000000</v>
      </c>
      <c r="C153" t="s">
        <v>1591</v>
      </c>
      <c r="D153" t="s">
        <v>16</v>
      </c>
      <c r="E153" t="s">
        <v>501</v>
      </c>
      <c r="F153" t="s">
        <v>559</v>
      </c>
      <c r="G153">
        <v>2</v>
      </c>
      <c r="H153">
        <v>2</v>
      </c>
      <c r="I153">
        <v>3</v>
      </c>
      <c r="J153" t="s">
        <v>38</v>
      </c>
    </row>
    <row r="154" spans="1:10" hidden="1" x14ac:dyDescent="0.3">
      <c r="A154" t="s">
        <v>144</v>
      </c>
      <c r="B154" s="5">
        <v>235000000</v>
      </c>
      <c r="C154" t="s">
        <v>1591</v>
      </c>
      <c r="D154" t="s">
        <v>16</v>
      </c>
      <c r="E154" t="s">
        <v>501</v>
      </c>
      <c r="F154" t="s">
        <v>562</v>
      </c>
      <c r="G154">
        <v>4</v>
      </c>
      <c r="H154">
        <v>4</v>
      </c>
      <c r="I154">
        <v>5</v>
      </c>
      <c r="J154" t="s">
        <v>38</v>
      </c>
    </row>
    <row r="155" spans="1:10" hidden="1" x14ac:dyDescent="0.3">
      <c r="A155" t="s">
        <v>565</v>
      </c>
      <c r="B155" s="5">
        <v>180000000</v>
      </c>
      <c r="C155" t="s">
        <v>1591</v>
      </c>
      <c r="D155" t="s">
        <v>16</v>
      </c>
      <c r="E155" t="s">
        <v>501</v>
      </c>
      <c r="F155" t="s">
        <v>566</v>
      </c>
      <c r="G155">
        <v>3</v>
      </c>
      <c r="H155">
        <v>3</v>
      </c>
      <c r="I155">
        <v>4</v>
      </c>
      <c r="J155" t="s">
        <v>193</v>
      </c>
    </row>
    <row r="156" spans="1:10" hidden="1" x14ac:dyDescent="0.3">
      <c r="A156" t="s">
        <v>569</v>
      </c>
      <c r="B156" s="5">
        <v>120000000</v>
      </c>
      <c r="C156" t="s">
        <v>1591</v>
      </c>
      <c r="D156" t="s">
        <v>16</v>
      </c>
      <c r="E156" t="s">
        <v>570</v>
      </c>
      <c r="F156" t="s">
        <v>571</v>
      </c>
      <c r="G156">
        <v>3</v>
      </c>
      <c r="H156">
        <v>3</v>
      </c>
      <c r="I156">
        <v>4</v>
      </c>
      <c r="J156" t="s">
        <v>19</v>
      </c>
    </row>
    <row r="157" spans="1:10" hidden="1" x14ac:dyDescent="0.3">
      <c r="A157" t="s">
        <v>574</v>
      </c>
      <c r="B157" s="5">
        <v>480000000</v>
      </c>
      <c r="C157" t="s">
        <v>1590</v>
      </c>
      <c r="D157" t="s">
        <v>16</v>
      </c>
      <c r="E157" t="s">
        <v>570</v>
      </c>
      <c r="F157" t="s">
        <v>575</v>
      </c>
      <c r="G157">
        <v>5</v>
      </c>
      <c r="H157">
        <v>5</v>
      </c>
      <c r="I157">
        <v>6</v>
      </c>
      <c r="J157" t="s">
        <v>38</v>
      </c>
    </row>
    <row r="158" spans="1:10" hidden="1" x14ac:dyDescent="0.3">
      <c r="A158" t="s">
        <v>578</v>
      </c>
      <c r="B158" s="5">
        <v>295000000</v>
      </c>
      <c r="C158" t="s">
        <v>1590</v>
      </c>
      <c r="D158" t="s">
        <v>16</v>
      </c>
      <c r="E158" t="s">
        <v>570</v>
      </c>
      <c r="F158" t="s">
        <v>579</v>
      </c>
      <c r="G158">
        <v>4</v>
      </c>
      <c r="H158">
        <v>5</v>
      </c>
      <c r="I158">
        <v>6</v>
      </c>
      <c r="J158" t="s">
        <v>38</v>
      </c>
    </row>
    <row r="159" spans="1:10" hidden="1" x14ac:dyDescent="0.3">
      <c r="A159" t="s">
        <v>582</v>
      </c>
      <c r="B159" s="5">
        <v>150000000</v>
      </c>
      <c r="C159" t="s">
        <v>1591</v>
      </c>
      <c r="D159" t="s">
        <v>16</v>
      </c>
      <c r="E159" t="s">
        <v>570</v>
      </c>
      <c r="F159" t="s">
        <v>583</v>
      </c>
      <c r="G159">
        <v>3</v>
      </c>
      <c r="H159">
        <v>3</v>
      </c>
      <c r="I159">
        <v>4</v>
      </c>
      <c r="J159" t="s">
        <v>91</v>
      </c>
    </row>
    <row r="160" spans="1:10" hidden="1" x14ac:dyDescent="0.3">
      <c r="A160" t="s">
        <v>586</v>
      </c>
      <c r="B160" s="5">
        <v>370000000</v>
      </c>
      <c r="C160" t="s">
        <v>1590</v>
      </c>
      <c r="D160" t="s">
        <v>16</v>
      </c>
      <c r="E160" t="s">
        <v>570</v>
      </c>
      <c r="F160" t="s">
        <v>587</v>
      </c>
      <c r="G160">
        <v>5</v>
      </c>
      <c r="H160">
        <v>4</v>
      </c>
      <c r="I160">
        <v>6</v>
      </c>
      <c r="J160" t="s">
        <v>19</v>
      </c>
    </row>
    <row r="161" spans="1:10" hidden="1" x14ac:dyDescent="0.3">
      <c r="A161" t="s">
        <v>227</v>
      </c>
      <c r="B161" s="5">
        <v>80000000</v>
      </c>
      <c r="C161" t="s">
        <v>1591</v>
      </c>
      <c r="D161" t="s">
        <v>16</v>
      </c>
      <c r="E161" t="s">
        <v>570</v>
      </c>
      <c r="F161" t="s">
        <v>590</v>
      </c>
      <c r="G161">
        <v>2</v>
      </c>
      <c r="H161">
        <v>2</v>
      </c>
      <c r="I161">
        <v>3</v>
      </c>
      <c r="J161" t="s">
        <v>19</v>
      </c>
    </row>
    <row r="162" spans="1:10" hidden="1" x14ac:dyDescent="0.3">
      <c r="A162" t="s">
        <v>593</v>
      </c>
      <c r="B162" s="5">
        <v>120000000</v>
      </c>
      <c r="C162" t="s">
        <v>1591</v>
      </c>
      <c r="D162" t="s">
        <v>16</v>
      </c>
      <c r="E162" t="s">
        <v>570</v>
      </c>
      <c r="F162" t="s">
        <v>594</v>
      </c>
      <c r="G162">
        <v>4</v>
      </c>
      <c r="H162">
        <v>4</v>
      </c>
      <c r="I162">
        <v>5</v>
      </c>
      <c r="J162" t="s">
        <v>38</v>
      </c>
    </row>
    <row r="163" spans="1:10" hidden="1" x14ac:dyDescent="0.3">
      <c r="A163" t="s">
        <v>597</v>
      </c>
      <c r="B163" s="5">
        <v>120000000</v>
      </c>
      <c r="C163" t="s">
        <v>1591</v>
      </c>
      <c r="D163" t="s">
        <v>16</v>
      </c>
      <c r="E163" t="s">
        <v>570</v>
      </c>
      <c r="F163" t="s">
        <v>598</v>
      </c>
      <c r="G163">
        <v>3</v>
      </c>
      <c r="H163">
        <v>3</v>
      </c>
      <c r="I163">
        <v>4</v>
      </c>
      <c r="J163" t="s">
        <v>19</v>
      </c>
    </row>
    <row r="164" spans="1:10" hidden="1" x14ac:dyDescent="0.3">
      <c r="A164" t="s">
        <v>601</v>
      </c>
      <c r="B164" s="5">
        <v>260000000</v>
      </c>
      <c r="C164" t="s">
        <v>1590</v>
      </c>
      <c r="D164" t="s">
        <v>16</v>
      </c>
      <c r="E164" t="s">
        <v>570</v>
      </c>
      <c r="F164" t="s">
        <v>602</v>
      </c>
      <c r="G164">
        <v>5</v>
      </c>
      <c r="H164">
        <v>5</v>
      </c>
      <c r="I164">
        <v>6</v>
      </c>
      <c r="J164" t="s">
        <v>91</v>
      </c>
    </row>
    <row r="165" spans="1:10" hidden="1" x14ac:dyDescent="0.3">
      <c r="A165" t="s">
        <v>605</v>
      </c>
      <c r="B165" s="5">
        <v>170000000</v>
      </c>
      <c r="C165" t="s">
        <v>1591</v>
      </c>
      <c r="D165" t="s">
        <v>16</v>
      </c>
      <c r="E165" t="s">
        <v>570</v>
      </c>
      <c r="F165" t="s">
        <v>606</v>
      </c>
      <c r="G165">
        <v>4</v>
      </c>
      <c r="H165">
        <v>4</v>
      </c>
      <c r="I165">
        <v>5</v>
      </c>
      <c r="J165" t="s">
        <v>38</v>
      </c>
    </row>
    <row r="166" spans="1:10" hidden="1" x14ac:dyDescent="0.3">
      <c r="A166" t="s">
        <v>609</v>
      </c>
      <c r="B166" s="5">
        <v>250000000</v>
      </c>
      <c r="C166" t="s">
        <v>1590</v>
      </c>
      <c r="D166" t="s">
        <v>16</v>
      </c>
      <c r="E166" t="s">
        <v>570</v>
      </c>
      <c r="F166" t="s">
        <v>610</v>
      </c>
      <c r="G166">
        <v>5</v>
      </c>
      <c r="H166">
        <v>7</v>
      </c>
      <c r="I166">
        <v>7</v>
      </c>
      <c r="J166" t="s">
        <v>38</v>
      </c>
    </row>
    <row r="167" spans="1:10" hidden="1" x14ac:dyDescent="0.3">
      <c r="A167" t="s">
        <v>613</v>
      </c>
      <c r="B167" s="5">
        <v>180000000</v>
      </c>
      <c r="C167" t="s">
        <v>1591</v>
      </c>
      <c r="D167" t="s">
        <v>16</v>
      </c>
      <c r="E167" t="s">
        <v>570</v>
      </c>
      <c r="F167" t="s">
        <v>610</v>
      </c>
      <c r="G167">
        <v>4</v>
      </c>
      <c r="H167">
        <v>7</v>
      </c>
      <c r="I167">
        <v>7</v>
      </c>
      <c r="J167" t="s">
        <v>38</v>
      </c>
    </row>
    <row r="168" spans="1:10" hidden="1" x14ac:dyDescent="0.3">
      <c r="A168" t="s">
        <v>616</v>
      </c>
      <c r="B168" s="5">
        <v>300000000</v>
      </c>
      <c r="C168" t="s">
        <v>1590</v>
      </c>
      <c r="D168" t="s">
        <v>16</v>
      </c>
      <c r="E168" t="s">
        <v>570</v>
      </c>
      <c r="F168" t="s">
        <v>610</v>
      </c>
      <c r="G168">
        <v>5</v>
      </c>
      <c r="H168">
        <v>7</v>
      </c>
      <c r="I168">
        <v>7</v>
      </c>
      <c r="J168" t="s">
        <v>38</v>
      </c>
    </row>
    <row r="169" spans="1:10" hidden="1" x14ac:dyDescent="0.3">
      <c r="A169" t="s">
        <v>497</v>
      </c>
      <c r="B169" s="5">
        <v>330000000</v>
      </c>
      <c r="C169" t="s">
        <v>1590</v>
      </c>
      <c r="D169" t="s">
        <v>16</v>
      </c>
      <c r="E169" t="s">
        <v>570</v>
      </c>
      <c r="F169" t="s">
        <v>619</v>
      </c>
      <c r="G169">
        <v>5</v>
      </c>
      <c r="H169">
        <v>5</v>
      </c>
      <c r="I169">
        <v>6</v>
      </c>
      <c r="J169" t="s">
        <v>70</v>
      </c>
    </row>
    <row r="170" spans="1:10" hidden="1" x14ac:dyDescent="0.3">
      <c r="A170" t="s">
        <v>622</v>
      </c>
      <c r="B170" s="5">
        <v>170000000</v>
      </c>
      <c r="C170" t="s">
        <v>1591</v>
      </c>
      <c r="D170" t="s">
        <v>16</v>
      </c>
      <c r="E170" t="s">
        <v>570</v>
      </c>
      <c r="F170" t="s">
        <v>623</v>
      </c>
      <c r="G170">
        <v>3</v>
      </c>
      <c r="H170">
        <v>4</v>
      </c>
      <c r="I170">
        <v>4</v>
      </c>
      <c r="J170" t="s">
        <v>193</v>
      </c>
    </row>
    <row r="171" spans="1:10" hidden="1" x14ac:dyDescent="0.3">
      <c r="A171" t="s">
        <v>626</v>
      </c>
      <c r="B171" s="5">
        <v>125000000</v>
      </c>
      <c r="C171" t="s">
        <v>1591</v>
      </c>
      <c r="D171" t="s">
        <v>16</v>
      </c>
      <c r="E171" t="s">
        <v>570</v>
      </c>
      <c r="F171" t="s">
        <v>587</v>
      </c>
      <c r="G171">
        <v>3</v>
      </c>
      <c r="H171">
        <v>3</v>
      </c>
      <c r="I171">
        <v>4</v>
      </c>
      <c r="J171" t="s">
        <v>19</v>
      </c>
    </row>
    <row r="172" spans="1:10" hidden="1" x14ac:dyDescent="0.3">
      <c r="A172" t="s">
        <v>116</v>
      </c>
      <c r="B172" s="5">
        <v>225000000</v>
      </c>
      <c r="C172" t="s">
        <v>1591</v>
      </c>
      <c r="D172" t="s">
        <v>16</v>
      </c>
      <c r="E172" t="s">
        <v>570</v>
      </c>
      <c r="F172" t="s">
        <v>587</v>
      </c>
      <c r="G172">
        <v>4</v>
      </c>
      <c r="H172">
        <v>4</v>
      </c>
      <c r="I172">
        <v>4</v>
      </c>
      <c r="J172" t="s">
        <v>70</v>
      </c>
    </row>
    <row r="173" spans="1:10" hidden="1" x14ac:dyDescent="0.3">
      <c r="A173" t="s">
        <v>77</v>
      </c>
      <c r="B173" s="5">
        <v>185000000</v>
      </c>
      <c r="C173" t="s">
        <v>1591</v>
      </c>
      <c r="D173" t="s">
        <v>16</v>
      </c>
      <c r="E173" t="s">
        <v>570</v>
      </c>
      <c r="F173" t="s">
        <v>587</v>
      </c>
      <c r="G173">
        <v>4</v>
      </c>
      <c r="H173">
        <v>4</v>
      </c>
      <c r="I173">
        <v>4</v>
      </c>
      <c r="J173" t="s">
        <v>29</v>
      </c>
    </row>
    <row r="174" spans="1:10" hidden="1" x14ac:dyDescent="0.3">
      <c r="A174" t="s">
        <v>107</v>
      </c>
      <c r="B174" s="5">
        <v>290000000</v>
      </c>
      <c r="C174" t="s">
        <v>1590</v>
      </c>
      <c r="D174" t="s">
        <v>16</v>
      </c>
      <c r="E174" t="s">
        <v>570</v>
      </c>
      <c r="F174" t="s">
        <v>587</v>
      </c>
      <c r="G174">
        <v>5</v>
      </c>
      <c r="H174">
        <v>5</v>
      </c>
      <c r="I174">
        <v>2</v>
      </c>
      <c r="J174" t="s">
        <v>38</v>
      </c>
    </row>
    <row r="175" spans="1:10" hidden="1" x14ac:dyDescent="0.3">
      <c r="A175" t="s">
        <v>380</v>
      </c>
      <c r="B175" s="5">
        <v>120000000</v>
      </c>
      <c r="C175" t="s">
        <v>1591</v>
      </c>
      <c r="D175" t="s">
        <v>16</v>
      </c>
      <c r="E175" t="s">
        <v>259</v>
      </c>
      <c r="F175" t="s">
        <v>635</v>
      </c>
      <c r="G175">
        <v>4</v>
      </c>
      <c r="H175">
        <v>4</v>
      </c>
      <c r="I175">
        <v>4</v>
      </c>
      <c r="J175" t="s">
        <v>29</v>
      </c>
    </row>
    <row r="176" spans="1:10" hidden="1" x14ac:dyDescent="0.3">
      <c r="A176" t="s">
        <v>638</v>
      </c>
      <c r="B176" s="5">
        <v>85000000</v>
      </c>
      <c r="C176" t="s">
        <v>1591</v>
      </c>
      <c r="D176" t="s">
        <v>16</v>
      </c>
      <c r="E176" t="s">
        <v>259</v>
      </c>
      <c r="F176" t="s">
        <v>635</v>
      </c>
      <c r="G176">
        <v>2</v>
      </c>
      <c r="H176">
        <v>2</v>
      </c>
      <c r="I176">
        <v>4</v>
      </c>
      <c r="J176" t="s">
        <v>29</v>
      </c>
    </row>
    <row r="177" spans="1:10" hidden="1" x14ac:dyDescent="0.3">
      <c r="A177" t="s">
        <v>641</v>
      </c>
      <c r="B177" s="5">
        <v>95000000</v>
      </c>
      <c r="C177" t="s">
        <v>1591</v>
      </c>
      <c r="D177" t="s">
        <v>16</v>
      </c>
      <c r="E177" t="s">
        <v>259</v>
      </c>
      <c r="F177" t="s">
        <v>635</v>
      </c>
      <c r="G177">
        <v>3</v>
      </c>
      <c r="H177">
        <v>3</v>
      </c>
      <c r="I177">
        <v>4</v>
      </c>
      <c r="J177" t="s">
        <v>29</v>
      </c>
    </row>
    <row r="178" spans="1:10" hidden="1" x14ac:dyDescent="0.3">
      <c r="A178" t="s">
        <v>644</v>
      </c>
      <c r="B178" s="5">
        <v>75000000</v>
      </c>
      <c r="C178" t="s">
        <v>1591</v>
      </c>
      <c r="D178" t="s">
        <v>16</v>
      </c>
      <c r="E178" t="s">
        <v>259</v>
      </c>
      <c r="F178" t="s">
        <v>635</v>
      </c>
      <c r="G178">
        <v>2</v>
      </c>
      <c r="H178">
        <v>2</v>
      </c>
      <c r="I178">
        <v>2</v>
      </c>
      <c r="J178" t="s">
        <v>29</v>
      </c>
    </row>
    <row r="179" spans="1:10" hidden="1" x14ac:dyDescent="0.3">
      <c r="A179" t="s">
        <v>545</v>
      </c>
      <c r="B179" s="5">
        <v>85000000</v>
      </c>
      <c r="C179" t="s">
        <v>1591</v>
      </c>
      <c r="D179" t="s">
        <v>16</v>
      </c>
      <c r="E179" t="s">
        <v>259</v>
      </c>
      <c r="F179" t="s">
        <v>647</v>
      </c>
      <c r="G179">
        <v>3</v>
      </c>
      <c r="H179">
        <v>4</v>
      </c>
      <c r="I179">
        <v>4</v>
      </c>
      <c r="J179" t="s">
        <v>193</v>
      </c>
    </row>
    <row r="180" spans="1:10" hidden="1" x14ac:dyDescent="0.3">
      <c r="A180" t="s">
        <v>650</v>
      </c>
      <c r="B180" s="5">
        <v>120000000</v>
      </c>
      <c r="C180" t="s">
        <v>1591</v>
      </c>
      <c r="D180" t="s">
        <v>16</v>
      </c>
      <c r="E180" t="s">
        <v>259</v>
      </c>
      <c r="F180" t="s">
        <v>651</v>
      </c>
      <c r="G180">
        <v>4</v>
      </c>
      <c r="H180">
        <v>5</v>
      </c>
      <c r="I180">
        <v>2</v>
      </c>
      <c r="J180" t="s">
        <v>70</v>
      </c>
    </row>
    <row r="181" spans="1:10" hidden="1" x14ac:dyDescent="0.3">
      <c r="A181" t="s">
        <v>654</v>
      </c>
      <c r="B181" s="5">
        <v>300000000</v>
      </c>
      <c r="C181" t="s">
        <v>1590</v>
      </c>
      <c r="D181" t="s">
        <v>16</v>
      </c>
      <c r="E181" t="s">
        <v>259</v>
      </c>
      <c r="F181" t="s">
        <v>655</v>
      </c>
      <c r="G181">
        <v>2</v>
      </c>
      <c r="H181">
        <v>3</v>
      </c>
      <c r="I181">
        <v>3</v>
      </c>
      <c r="J181" t="s">
        <v>19</v>
      </c>
    </row>
    <row r="182" spans="1:10" hidden="1" x14ac:dyDescent="0.3">
      <c r="A182" t="s">
        <v>227</v>
      </c>
      <c r="B182" s="5">
        <v>75000000</v>
      </c>
      <c r="C182" t="s">
        <v>1591</v>
      </c>
      <c r="D182" t="s">
        <v>16</v>
      </c>
      <c r="E182" t="s">
        <v>259</v>
      </c>
      <c r="F182" t="s">
        <v>658</v>
      </c>
      <c r="G182">
        <v>2</v>
      </c>
      <c r="H182">
        <v>3</v>
      </c>
      <c r="I182">
        <v>2</v>
      </c>
      <c r="J182" t="s">
        <v>19</v>
      </c>
    </row>
    <row r="183" spans="1:10" hidden="1" x14ac:dyDescent="0.3">
      <c r="A183" t="s">
        <v>227</v>
      </c>
      <c r="B183" s="5">
        <v>40000000</v>
      </c>
      <c r="C183" t="s">
        <v>1592</v>
      </c>
      <c r="D183" t="s">
        <v>16</v>
      </c>
      <c r="E183" t="s">
        <v>259</v>
      </c>
      <c r="F183" t="s">
        <v>661</v>
      </c>
      <c r="G183">
        <v>2</v>
      </c>
      <c r="H183">
        <v>3</v>
      </c>
      <c r="I183">
        <v>3</v>
      </c>
      <c r="J183" t="s">
        <v>19</v>
      </c>
    </row>
    <row r="184" spans="1:10" hidden="1" x14ac:dyDescent="0.3">
      <c r="A184" t="s">
        <v>664</v>
      </c>
      <c r="B184" s="5">
        <v>180000000</v>
      </c>
      <c r="C184" t="s">
        <v>1591</v>
      </c>
      <c r="D184" t="s">
        <v>16</v>
      </c>
      <c r="E184" t="s">
        <v>259</v>
      </c>
      <c r="F184" t="s">
        <v>635</v>
      </c>
      <c r="G184">
        <v>6</v>
      </c>
      <c r="H184">
        <v>10</v>
      </c>
      <c r="I184">
        <v>5</v>
      </c>
      <c r="J184" t="s">
        <v>19</v>
      </c>
    </row>
    <row r="185" spans="1:10" hidden="1" x14ac:dyDescent="0.3">
      <c r="A185" t="s">
        <v>32</v>
      </c>
      <c r="B185" s="5">
        <v>130000000</v>
      </c>
      <c r="C185" t="s">
        <v>1591</v>
      </c>
      <c r="D185" t="s">
        <v>16</v>
      </c>
      <c r="E185" t="s">
        <v>259</v>
      </c>
      <c r="F185" t="s">
        <v>667</v>
      </c>
      <c r="G185">
        <v>4</v>
      </c>
      <c r="H185">
        <v>4</v>
      </c>
      <c r="I185">
        <v>4</v>
      </c>
      <c r="J185" t="s">
        <v>19</v>
      </c>
    </row>
    <row r="186" spans="1:10" hidden="1" x14ac:dyDescent="0.3">
      <c r="A186" t="s">
        <v>622</v>
      </c>
      <c r="B186" s="5">
        <v>40000000</v>
      </c>
      <c r="C186" t="s">
        <v>1592</v>
      </c>
      <c r="D186" t="s">
        <v>16</v>
      </c>
      <c r="E186" t="s">
        <v>259</v>
      </c>
      <c r="F186" t="s">
        <v>670</v>
      </c>
      <c r="G186">
        <v>3</v>
      </c>
      <c r="H186">
        <v>4</v>
      </c>
      <c r="I186">
        <v>5</v>
      </c>
      <c r="J186" t="s">
        <v>193</v>
      </c>
    </row>
    <row r="187" spans="1:10" hidden="1" x14ac:dyDescent="0.3">
      <c r="A187" t="s">
        <v>138</v>
      </c>
      <c r="B187" s="5">
        <v>45000000</v>
      </c>
      <c r="C187" t="s">
        <v>1592</v>
      </c>
      <c r="D187" t="s">
        <v>16</v>
      </c>
      <c r="E187" t="s">
        <v>259</v>
      </c>
      <c r="F187" t="s">
        <v>673</v>
      </c>
      <c r="G187">
        <v>2</v>
      </c>
      <c r="H187">
        <v>3</v>
      </c>
      <c r="I187">
        <v>3</v>
      </c>
      <c r="J187" t="s">
        <v>19</v>
      </c>
    </row>
    <row r="188" spans="1:10" hidden="1" x14ac:dyDescent="0.3">
      <c r="A188" t="s">
        <v>676</v>
      </c>
      <c r="B188" s="5">
        <v>125000000</v>
      </c>
      <c r="C188" t="s">
        <v>1591</v>
      </c>
      <c r="D188" t="s">
        <v>16</v>
      </c>
      <c r="E188" t="s">
        <v>677</v>
      </c>
      <c r="F188" t="s">
        <v>678</v>
      </c>
      <c r="G188">
        <v>3</v>
      </c>
      <c r="H188">
        <v>3</v>
      </c>
      <c r="I188">
        <v>4</v>
      </c>
      <c r="J188" t="s">
        <v>19</v>
      </c>
    </row>
    <row r="189" spans="1:10" hidden="1" x14ac:dyDescent="0.3">
      <c r="A189" t="s">
        <v>208</v>
      </c>
      <c r="B189" s="5">
        <v>100000000</v>
      </c>
      <c r="C189" t="s">
        <v>1591</v>
      </c>
      <c r="D189" t="s">
        <v>16</v>
      </c>
      <c r="E189" t="s">
        <v>677</v>
      </c>
      <c r="F189" t="s">
        <v>681</v>
      </c>
      <c r="G189">
        <v>2</v>
      </c>
      <c r="H189">
        <v>2</v>
      </c>
      <c r="I189">
        <v>3</v>
      </c>
      <c r="J189" t="s">
        <v>19</v>
      </c>
    </row>
    <row r="190" spans="1:10" hidden="1" x14ac:dyDescent="0.3">
      <c r="A190" t="s">
        <v>684</v>
      </c>
      <c r="B190" s="5">
        <v>280000000</v>
      </c>
      <c r="C190" t="s">
        <v>1590</v>
      </c>
      <c r="D190" t="s">
        <v>16</v>
      </c>
      <c r="E190" t="s">
        <v>677</v>
      </c>
      <c r="F190" t="s">
        <v>685</v>
      </c>
      <c r="G190">
        <v>4</v>
      </c>
      <c r="H190">
        <v>4</v>
      </c>
      <c r="I190">
        <v>5</v>
      </c>
      <c r="J190" t="s">
        <v>29</v>
      </c>
    </row>
    <row r="191" spans="1:10" hidden="1" x14ac:dyDescent="0.3">
      <c r="A191" t="s">
        <v>369</v>
      </c>
      <c r="B191" s="5">
        <v>63000000</v>
      </c>
      <c r="C191" t="s">
        <v>1591</v>
      </c>
      <c r="D191" t="s">
        <v>16</v>
      </c>
      <c r="E191" t="s">
        <v>677</v>
      </c>
      <c r="F191" t="s">
        <v>688</v>
      </c>
      <c r="G191">
        <v>2</v>
      </c>
      <c r="H191">
        <v>3</v>
      </c>
      <c r="I191">
        <v>3</v>
      </c>
      <c r="J191" t="s">
        <v>19</v>
      </c>
    </row>
    <row r="192" spans="1:10" hidden="1" x14ac:dyDescent="0.3">
      <c r="A192" t="s">
        <v>691</v>
      </c>
      <c r="B192" s="5">
        <v>140000000</v>
      </c>
      <c r="C192" t="s">
        <v>1591</v>
      </c>
      <c r="D192" t="s">
        <v>16</v>
      </c>
      <c r="E192" t="s">
        <v>677</v>
      </c>
      <c r="F192" t="s">
        <v>692</v>
      </c>
      <c r="G192">
        <v>5</v>
      </c>
      <c r="H192">
        <v>6</v>
      </c>
      <c r="I192">
        <v>6</v>
      </c>
      <c r="J192" t="s">
        <v>38</v>
      </c>
    </row>
    <row r="193" spans="1:10" hidden="1" x14ac:dyDescent="0.3">
      <c r="A193" t="s">
        <v>199</v>
      </c>
      <c r="B193" s="5">
        <v>65000000</v>
      </c>
      <c r="C193" t="s">
        <v>1591</v>
      </c>
      <c r="D193" t="s">
        <v>16</v>
      </c>
      <c r="E193" t="s">
        <v>677</v>
      </c>
      <c r="F193" t="s">
        <v>685</v>
      </c>
      <c r="G193">
        <v>3</v>
      </c>
      <c r="H193">
        <v>3</v>
      </c>
      <c r="I193">
        <v>4</v>
      </c>
      <c r="J193" t="s">
        <v>19</v>
      </c>
    </row>
    <row r="194" spans="1:10" hidden="1" x14ac:dyDescent="0.3">
      <c r="A194" t="s">
        <v>275</v>
      </c>
      <c r="B194" s="5">
        <v>250000000</v>
      </c>
      <c r="C194" t="s">
        <v>1590</v>
      </c>
      <c r="D194" t="s">
        <v>16</v>
      </c>
      <c r="E194" t="s">
        <v>677</v>
      </c>
      <c r="F194" t="s">
        <v>692</v>
      </c>
      <c r="G194">
        <v>5</v>
      </c>
      <c r="H194">
        <v>5</v>
      </c>
      <c r="I194">
        <v>4</v>
      </c>
      <c r="J194" t="s">
        <v>29</v>
      </c>
    </row>
    <row r="195" spans="1:10" hidden="1" x14ac:dyDescent="0.3">
      <c r="A195" t="s">
        <v>77</v>
      </c>
      <c r="B195" s="5">
        <v>300000000</v>
      </c>
      <c r="C195" t="s">
        <v>1590</v>
      </c>
      <c r="D195" t="s">
        <v>16</v>
      </c>
      <c r="E195" t="s">
        <v>677</v>
      </c>
      <c r="F195" t="s">
        <v>685</v>
      </c>
      <c r="G195">
        <v>4</v>
      </c>
      <c r="H195">
        <v>4</v>
      </c>
      <c r="I195">
        <v>4</v>
      </c>
      <c r="J195" t="s">
        <v>29</v>
      </c>
    </row>
    <row r="196" spans="1:10" hidden="1" x14ac:dyDescent="0.3">
      <c r="A196" t="s">
        <v>701</v>
      </c>
      <c r="B196" s="5">
        <v>140000000</v>
      </c>
      <c r="C196" t="s">
        <v>1591</v>
      </c>
      <c r="D196" t="s">
        <v>16</v>
      </c>
      <c r="E196" t="s">
        <v>677</v>
      </c>
      <c r="F196" t="s">
        <v>685</v>
      </c>
      <c r="G196">
        <v>5</v>
      </c>
      <c r="H196">
        <v>5</v>
      </c>
      <c r="I196">
        <v>2</v>
      </c>
      <c r="J196" t="s">
        <v>38</v>
      </c>
    </row>
    <row r="197" spans="1:10" hidden="1" x14ac:dyDescent="0.3">
      <c r="A197" t="s">
        <v>704</v>
      </c>
      <c r="B197" s="5">
        <v>150000000</v>
      </c>
      <c r="C197" t="s">
        <v>1591</v>
      </c>
      <c r="D197" t="s">
        <v>16</v>
      </c>
      <c r="E197" t="s">
        <v>677</v>
      </c>
      <c r="F197" t="s">
        <v>705</v>
      </c>
      <c r="G197">
        <v>3</v>
      </c>
      <c r="H197">
        <v>3</v>
      </c>
      <c r="I197">
        <v>4</v>
      </c>
      <c r="J197" t="s">
        <v>70</v>
      </c>
    </row>
    <row r="198" spans="1:10" hidden="1" x14ac:dyDescent="0.3">
      <c r="A198" t="s">
        <v>32</v>
      </c>
      <c r="B198" s="5">
        <v>250000000</v>
      </c>
      <c r="C198" t="s">
        <v>1590</v>
      </c>
      <c r="D198" t="s">
        <v>16</v>
      </c>
      <c r="E198" t="s">
        <v>677</v>
      </c>
      <c r="F198" t="s">
        <v>708</v>
      </c>
      <c r="G198">
        <v>4</v>
      </c>
      <c r="H198">
        <v>5</v>
      </c>
      <c r="I198">
        <v>4</v>
      </c>
      <c r="J198" t="s">
        <v>19</v>
      </c>
    </row>
    <row r="199" spans="1:10" hidden="1" x14ac:dyDescent="0.3">
      <c r="A199" t="s">
        <v>133</v>
      </c>
      <c r="B199" s="5">
        <v>250000000</v>
      </c>
      <c r="C199" t="s">
        <v>1590</v>
      </c>
      <c r="D199" t="s">
        <v>16</v>
      </c>
      <c r="E199" t="s">
        <v>677</v>
      </c>
      <c r="F199" t="s">
        <v>685</v>
      </c>
      <c r="G199">
        <v>4</v>
      </c>
      <c r="H199">
        <v>4</v>
      </c>
      <c r="I199">
        <v>4</v>
      </c>
      <c r="J199" t="s">
        <v>29</v>
      </c>
    </row>
    <row r="200" spans="1:10" hidden="1" x14ac:dyDescent="0.3">
      <c r="A200" t="s">
        <v>208</v>
      </c>
      <c r="B200" s="5">
        <v>65000000</v>
      </c>
      <c r="C200" t="s">
        <v>1591</v>
      </c>
      <c r="D200" t="s">
        <v>16</v>
      </c>
      <c r="E200" t="s">
        <v>677</v>
      </c>
      <c r="F200" t="s">
        <v>685</v>
      </c>
      <c r="G200">
        <v>2</v>
      </c>
      <c r="H200">
        <v>2</v>
      </c>
      <c r="I200">
        <v>2</v>
      </c>
      <c r="J200" t="s">
        <v>19</v>
      </c>
    </row>
    <row r="201" spans="1:10" hidden="1" x14ac:dyDescent="0.3">
      <c r="A201" t="s">
        <v>715</v>
      </c>
      <c r="B201" s="5">
        <v>68000000</v>
      </c>
      <c r="C201" t="s">
        <v>1591</v>
      </c>
      <c r="D201" t="s">
        <v>16</v>
      </c>
      <c r="E201" t="s">
        <v>677</v>
      </c>
      <c r="F201" t="s">
        <v>716</v>
      </c>
      <c r="G201">
        <v>2</v>
      </c>
      <c r="H201">
        <v>2</v>
      </c>
      <c r="I201">
        <v>4</v>
      </c>
      <c r="J201" t="s">
        <v>19</v>
      </c>
    </row>
    <row r="202" spans="1:10" hidden="1" x14ac:dyDescent="0.3">
      <c r="A202" t="s">
        <v>138</v>
      </c>
      <c r="B202" s="5">
        <v>68000000</v>
      </c>
      <c r="C202" t="s">
        <v>1591</v>
      </c>
      <c r="D202" t="s">
        <v>16</v>
      </c>
      <c r="E202" t="s">
        <v>677</v>
      </c>
      <c r="F202" t="s">
        <v>719</v>
      </c>
      <c r="G202">
        <v>2</v>
      </c>
      <c r="H202">
        <v>2</v>
      </c>
      <c r="I202">
        <v>4</v>
      </c>
      <c r="J202" t="s">
        <v>19</v>
      </c>
    </row>
    <row r="203" spans="1:10" hidden="1" x14ac:dyDescent="0.3">
      <c r="A203" t="s">
        <v>545</v>
      </c>
      <c r="B203" s="5">
        <v>69000000</v>
      </c>
      <c r="C203" t="s">
        <v>1591</v>
      </c>
      <c r="D203" t="s">
        <v>16</v>
      </c>
      <c r="E203" t="s">
        <v>677</v>
      </c>
      <c r="F203" t="s">
        <v>722</v>
      </c>
      <c r="G203">
        <v>3</v>
      </c>
      <c r="H203">
        <v>3</v>
      </c>
      <c r="I203">
        <v>4</v>
      </c>
      <c r="J203" t="s">
        <v>193</v>
      </c>
    </row>
    <row r="204" spans="1:10" hidden="1" x14ac:dyDescent="0.3">
      <c r="A204" t="s">
        <v>725</v>
      </c>
      <c r="B204" s="5">
        <v>250000000</v>
      </c>
      <c r="C204" t="s">
        <v>1590</v>
      </c>
      <c r="D204" t="s">
        <v>16</v>
      </c>
      <c r="E204" t="s">
        <v>677</v>
      </c>
      <c r="F204" t="s">
        <v>726</v>
      </c>
      <c r="G204">
        <v>4</v>
      </c>
      <c r="H204">
        <v>4</v>
      </c>
      <c r="I204">
        <v>2</v>
      </c>
      <c r="J204" t="s">
        <v>38</v>
      </c>
    </row>
    <row r="205" spans="1:10" hidden="1" x14ac:dyDescent="0.3">
      <c r="A205" t="s">
        <v>729</v>
      </c>
      <c r="B205" s="5">
        <v>400000000</v>
      </c>
      <c r="C205" t="s">
        <v>1590</v>
      </c>
      <c r="D205" t="s">
        <v>16</v>
      </c>
      <c r="E205" t="s">
        <v>677</v>
      </c>
      <c r="F205" t="s">
        <v>685</v>
      </c>
      <c r="G205">
        <v>3</v>
      </c>
      <c r="H205">
        <v>3</v>
      </c>
      <c r="I205">
        <v>4</v>
      </c>
      <c r="J205" t="s">
        <v>29</v>
      </c>
    </row>
    <row r="206" spans="1:10" hidden="1" x14ac:dyDescent="0.3">
      <c r="A206" t="s">
        <v>732</v>
      </c>
      <c r="B206" s="5">
        <v>330000000</v>
      </c>
      <c r="C206" t="s">
        <v>1590</v>
      </c>
      <c r="D206" t="s">
        <v>16</v>
      </c>
      <c r="E206" t="s">
        <v>733</v>
      </c>
      <c r="F206" t="s">
        <v>734</v>
      </c>
      <c r="G206">
        <v>4</v>
      </c>
      <c r="H206">
        <v>4</v>
      </c>
      <c r="I206">
        <v>4</v>
      </c>
      <c r="J206" t="s">
        <v>91</v>
      </c>
    </row>
    <row r="207" spans="1:10" hidden="1" x14ac:dyDescent="0.3">
      <c r="A207" t="s">
        <v>737</v>
      </c>
      <c r="B207" s="5">
        <v>2500000000</v>
      </c>
      <c r="C207" t="s">
        <v>1589</v>
      </c>
      <c r="D207" t="s">
        <v>16</v>
      </c>
      <c r="E207" t="s">
        <v>733</v>
      </c>
      <c r="F207" t="s">
        <v>738</v>
      </c>
      <c r="G207">
        <v>5</v>
      </c>
      <c r="H207">
        <v>5</v>
      </c>
      <c r="I207">
        <v>4</v>
      </c>
      <c r="J207" t="s">
        <v>38</v>
      </c>
    </row>
    <row r="208" spans="1:10" hidden="1" x14ac:dyDescent="0.3">
      <c r="A208" t="s">
        <v>107</v>
      </c>
      <c r="B208" s="5">
        <v>440000000</v>
      </c>
      <c r="C208" t="s">
        <v>1590</v>
      </c>
      <c r="D208" t="s">
        <v>16</v>
      </c>
      <c r="E208" t="s">
        <v>733</v>
      </c>
      <c r="F208" t="s">
        <v>741</v>
      </c>
      <c r="G208">
        <v>5</v>
      </c>
      <c r="H208">
        <v>5</v>
      </c>
      <c r="I208">
        <v>4</v>
      </c>
      <c r="J208" t="s">
        <v>38</v>
      </c>
    </row>
    <row r="209" spans="1:10" hidden="1" x14ac:dyDescent="0.3">
      <c r="A209" t="s">
        <v>744</v>
      </c>
      <c r="B209" s="5">
        <v>2500000000</v>
      </c>
      <c r="C209" t="s">
        <v>1589</v>
      </c>
      <c r="D209" t="s">
        <v>16</v>
      </c>
      <c r="E209" t="s">
        <v>733</v>
      </c>
      <c r="F209" t="s">
        <v>745</v>
      </c>
      <c r="G209">
        <v>8</v>
      </c>
      <c r="H209">
        <v>8</v>
      </c>
      <c r="I209">
        <v>9</v>
      </c>
      <c r="J209" t="s">
        <v>38</v>
      </c>
    </row>
    <row r="210" spans="1:10" hidden="1" x14ac:dyDescent="0.3">
      <c r="A210" t="s">
        <v>748</v>
      </c>
      <c r="B210" s="5">
        <v>800000000</v>
      </c>
      <c r="C210" t="s">
        <v>1589</v>
      </c>
      <c r="D210" t="s">
        <v>16</v>
      </c>
      <c r="E210" t="s">
        <v>733</v>
      </c>
      <c r="F210" t="s">
        <v>749</v>
      </c>
      <c r="G210">
        <v>4</v>
      </c>
      <c r="H210">
        <v>4</v>
      </c>
      <c r="I210">
        <v>5</v>
      </c>
      <c r="J210" t="s">
        <v>38</v>
      </c>
    </row>
    <row r="211" spans="1:10" hidden="1" x14ac:dyDescent="0.3">
      <c r="A211" t="s">
        <v>77</v>
      </c>
      <c r="B211" s="5">
        <v>370000000</v>
      </c>
      <c r="C211" t="s">
        <v>1590</v>
      </c>
      <c r="D211" t="s">
        <v>16</v>
      </c>
      <c r="E211" t="s">
        <v>733</v>
      </c>
      <c r="F211" t="s">
        <v>752</v>
      </c>
      <c r="G211">
        <v>4</v>
      </c>
      <c r="H211">
        <v>4</v>
      </c>
      <c r="I211">
        <v>5</v>
      </c>
      <c r="J211" t="s">
        <v>29</v>
      </c>
    </row>
    <row r="212" spans="1:10" hidden="1" x14ac:dyDescent="0.3">
      <c r="A212" t="s">
        <v>755</v>
      </c>
      <c r="B212" s="5">
        <v>3000000000</v>
      </c>
      <c r="C212" t="s">
        <v>1589</v>
      </c>
      <c r="D212" t="s">
        <v>16</v>
      </c>
      <c r="E212" t="s">
        <v>733</v>
      </c>
      <c r="F212" t="s">
        <v>756</v>
      </c>
      <c r="G212">
        <v>7</v>
      </c>
      <c r="H212">
        <v>7</v>
      </c>
      <c r="I212">
        <v>8</v>
      </c>
      <c r="J212" t="s">
        <v>19</v>
      </c>
    </row>
    <row r="213" spans="1:10" hidden="1" x14ac:dyDescent="0.3">
      <c r="A213" t="s">
        <v>759</v>
      </c>
      <c r="B213" s="5">
        <v>650000000</v>
      </c>
      <c r="C213" t="s">
        <v>1590</v>
      </c>
      <c r="D213" t="s">
        <v>16</v>
      </c>
      <c r="E213" t="s">
        <v>733</v>
      </c>
      <c r="F213" t="s">
        <v>760</v>
      </c>
      <c r="G213">
        <v>5</v>
      </c>
      <c r="H213">
        <v>6</v>
      </c>
      <c r="I213">
        <v>6</v>
      </c>
      <c r="J213" t="s">
        <v>38</v>
      </c>
    </row>
    <row r="214" spans="1:10" hidden="1" x14ac:dyDescent="0.3">
      <c r="A214" t="s">
        <v>763</v>
      </c>
      <c r="B214" s="5">
        <v>350000000</v>
      </c>
      <c r="C214" t="s">
        <v>1590</v>
      </c>
      <c r="D214" t="s">
        <v>16</v>
      </c>
      <c r="E214" t="s">
        <v>733</v>
      </c>
      <c r="F214" t="s">
        <v>734</v>
      </c>
      <c r="G214">
        <v>4</v>
      </c>
      <c r="H214">
        <v>4</v>
      </c>
      <c r="I214">
        <v>5</v>
      </c>
      <c r="J214" t="s">
        <v>91</v>
      </c>
    </row>
    <row r="215" spans="1:10" hidden="1" x14ac:dyDescent="0.3">
      <c r="A215" t="s">
        <v>766</v>
      </c>
      <c r="B215" s="5">
        <v>750000000</v>
      </c>
      <c r="C215" t="s">
        <v>1589</v>
      </c>
      <c r="D215" t="s">
        <v>16</v>
      </c>
      <c r="E215" t="s">
        <v>733</v>
      </c>
      <c r="F215" t="s">
        <v>767</v>
      </c>
      <c r="G215">
        <v>5</v>
      </c>
      <c r="H215">
        <v>5</v>
      </c>
      <c r="I215">
        <v>6</v>
      </c>
      <c r="J215" t="s">
        <v>38</v>
      </c>
    </row>
    <row r="216" spans="1:10" hidden="1" x14ac:dyDescent="0.3">
      <c r="A216" t="s">
        <v>15</v>
      </c>
      <c r="B216" s="5">
        <v>300000000</v>
      </c>
      <c r="C216" t="s">
        <v>1590</v>
      </c>
      <c r="D216" t="s">
        <v>16</v>
      </c>
      <c r="E216" t="s">
        <v>733</v>
      </c>
      <c r="F216" t="s">
        <v>734</v>
      </c>
      <c r="G216">
        <v>3</v>
      </c>
      <c r="H216">
        <v>3</v>
      </c>
      <c r="I216">
        <v>4</v>
      </c>
      <c r="J216" t="s">
        <v>19</v>
      </c>
    </row>
    <row r="217" spans="1:10" hidden="1" x14ac:dyDescent="0.3">
      <c r="A217" t="s">
        <v>265</v>
      </c>
      <c r="B217" s="5">
        <v>900000000</v>
      </c>
      <c r="C217" t="s">
        <v>1589</v>
      </c>
      <c r="D217" t="s">
        <v>16</v>
      </c>
      <c r="E217" t="s">
        <v>733</v>
      </c>
      <c r="F217" t="s">
        <v>734</v>
      </c>
      <c r="G217">
        <v>4</v>
      </c>
      <c r="H217">
        <v>4</v>
      </c>
      <c r="I217">
        <v>5</v>
      </c>
      <c r="J217" t="s">
        <v>91</v>
      </c>
    </row>
    <row r="218" spans="1:10" hidden="1" x14ac:dyDescent="0.3">
      <c r="A218" t="s">
        <v>32</v>
      </c>
      <c r="B218" s="5">
        <v>750000000</v>
      </c>
      <c r="C218" t="s">
        <v>1589</v>
      </c>
      <c r="D218" t="s">
        <v>16</v>
      </c>
      <c r="E218" t="s">
        <v>733</v>
      </c>
      <c r="F218" t="s">
        <v>734</v>
      </c>
      <c r="G218">
        <v>4</v>
      </c>
      <c r="H218">
        <v>4</v>
      </c>
      <c r="I218">
        <v>5</v>
      </c>
      <c r="J218" t="s">
        <v>19</v>
      </c>
    </row>
    <row r="219" spans="1:10" hidden="1" x14ac:dyDescent="0.3">
      <c r="A219" t="s">
        <v>776</v>
      </c>
      <c r="B219" s="5">
        <v>700000000</v>
      </c>
      <c r="C219" t="s">
        <v>1590</v>
      </c>
      <c r="D219" t="s">
        <v>16</v>
      </c>
      <c r="E219" t="s">
        <v>733</v>
      </c>
      <c r="F219" t="s">
        <v>734</v>
      </c>
      <c r="G219">
        <v>5</v>
      </c>
      <c r="H219">
        <v>5</v>
      </c>
      <c r="I219">
        <v>6</v>
      </c>
      <c r="J219" t="s">
        <v>38</v>
      </c>
    </row>
    <row r="220" spans="1:10" hidden="1" x14ac:dyDescent="0.3">
      <c r="A220" t="s">
        <v>779</v>
      </c>
      <c r="B220" s="5">
        <v>600000000</v>
      </c>
      <c r="C220" t="s">
        <v>1590</v>
      </c>
      <c r="D220" t="s">
        <v>16</v>
      </c>
      <c r="E220" t="s">
        <v>733</v>
      </c>
      <c r="F220" t="s">
        <v>734</v>
      </c>
      <c r="G220">
        <v>5</v>
      </c>
      <c r="H220">
        <v>5</v>
      </c>
      <c r="I220">
        <v>5</v>
      </c>
      <c r="J220" t="s">
        <v>38</v>
      </c>
    </row>
    <row r="221" spans="1:10" hidden="1" x14ac:dyDescent="0.3">
      <c r="A221" t="s">
        <v>782</v>
      </c>
      <c r="B221" s="5">
        <v>680000000</v>
      </c>
      <c r="C221" t="s">
        <v>1590</v>
      </c>
      <c r="D221" t="s">
        <v>16</v>
      </c>
      <c r="E221" t="s">
        <v>783</v>
      </c>
      <c r="F221" t="s">
        <v>784</v>
      </c>
      <c r="G221">
        <v>5</v>
      </c>
      <c r="H221">
        <v>5</v>
      </c>
      <c r="I221">
        <v>5</v>
      </c>
      <c r="J221" t="s">
        <v>38</v>
      </c>
    </row>
    <row r="222" spans="1:10" hidden="1" x14ac:dyDescent="0.3">
      <c r="A222" t="s">
        <v>782</v>
      </c>
      <c r="B222" s="5">
        <v>680000000</v>
      </c>
      <c r="C222" t="s">
        <v>1590</v>
      </c>
      <c r="D222" t="s">
        <v>16</v>
      </c>
      <c r="E222" t="s">
        <v>783</v>
      </c>
      <c r="F222" t="s">
        <v>784</v>
      </c>
      <c r="G222">
        <v>5</v>
      </c>
      <c r="H222">
        <v>5</v>
      </c>
      <c r="I222">
        <v>2</v>
      </c>
      <c r="J222" t="s">
        <v>38</v>
      </c>
    </row>
    <row r="223" spans="1:10" hidden="1" x14ac:dyDescent="0.3">
      <c r="A223" t="s">
        <v>107</v>
      </c>
      <c r="B223" s="5">
        <v>780000000</v>
      </c>
      <c r="C223" t="s">
        <v>1589</v>
      </c>
      <c r="D223" t="s">
        <v>16</v>
      </c>
      <c r="E223" t="s">
        <v>783</v>
      </c>
      <c r="F223" t="s">
        <v>784</v>
      </c>
      <c r="G223">
        <v>5</v>
      </c>
      <c r="H223">
        <v>5</v>
      </c>
      <c r="I223">
        <v>7</v>
      </c>
      <c r="J223" t="s">
        <v>38</v>
      </c>
    </row>
    <row r="224" spans="1:10" hidden="1" x14ac:dyDescent="0.3">
      <c r="A224" t="s">
        <v>791</v>
      </c>
      <c r="B224" s="5">
        <v>1290000000</v>
      </c>
      <c r="C224" t="s">
        <v>1589</v>
      </c>
      <c r="D224" t="s">
        <v>16</v>
      </c>
      <c r="E224" t="s">
        <v>783</v>
      </c>
      <c r="F224" t="s">
        <v>792</v>
      </c>
      <c r="G224">
        <v>10</v>
      </c>
      <c r="H224">
        <v>10</v>
      </c>
      <c r="I224">
        <v>4</v>
      </c>
      <c r="J224" t="s">
        <v>38</v>
      </c>
    </row>
    <row r="225" spans="1:10" hidden="1" x14ac:dyDescent="0.3">
      <c r="A225" t="s">
        <v>795</v>
      </c>
      <c r="B225" s="5">
        <v>750000000</v>
      </c>
      <c r="C225" t="s">
        <v>1589</v>
      </c>
      <c r="D225" t="s">
        <v>16</v>
      </c>
      <c r="E225" t="s">
        <v>783</v>
      </c>
      <c r="F225" t="s">
        <v>796</v>
      </c>
      <c r="G225">
        <v>4</v>
      </c>
      <c r="H225">
        <v>4</v>
      </c>
      <c r="I225">
        <v>2</v>
      </c>
      <c r="J225" t="s">
        <v>91</v>
      </c>
    </row>
    <row r="226" spans="1:10" hidden="1" x14ac:dyDescent="0.3">
      <c r="A226" t="s">
        <v>799</v>
      </c>
      <c r="B226" s="5">
        <v>3500000000</v>
      </c>
      <c r="C226" t="s">
        <v>1589</v>
      </c>
      <c r="D226" t="s">
        <v>16</v>
      </c>
      <c r="E226" t="s">
        <v>783</v>
      </c>
      <c r="F226" t="s">
        <v>784</v>
      </c>
      <c r="G226">
        <v>1</v>
      </c>
      <c r="H226">
        <v>1</v>
      </c>
      <c r="I226">
        <v>3</v>
      </c>
      <c r="J226" t="s">
        <v>19</v>
      </c>
    </row>
    <row r="227" spans="1:10" hidden="1" x14ac:dyDescent="0.3">
      <c r="A227" t="s">
        <v>144</v>
      </c>
      <c r="B227" s="5">
        <v>550000000</v>
      </c>
      <c r="C227" t="s">
        <v>1590</v>
      </c>
      <c r="D227" t="s">
        <v>16</v>
      </c>
      <c r="E227" t="s">
        <v>783</v>
      </c>
      <c r="F227" t="s">
        <v>784</v>
      </c>
      <c r="G227">
        <v>4</v>
      </c>
      <c r="H227">
        <v>4</v>
      </c>
      <c r="I227">
        <v>4</v>
      </c>
      <c r="J227" t="s">
        <v>38</v>
      </c>
    </row>
    <row r="228" spans="1:10" hidden="1" x14ac:dyDescent="0.3">
      <c r="A228" t="s">
        <v>804</v>
      </c>
      <c r="B228" s="5">
        <v>600000000</v>
      </c>
      <c r="C228" t="s">
        <v>1590</v>
      </c>
      <c r="D228" t="s">
        <v>16</v>
      </c>
      <c r="E228" t="s">
        <v>783</v>
      </c>
      <c r="F228" t="s">
        <v>784</v>
      </c>
      <c r="G228">
        <v>6</v>
      </c>
      <c r="H228">
        <v>6</v>
      </c>
      <c r="I228">
        <v>7</v>
      </c>
      <c r="J228" t="s">
        <v>38</v>
      </c>
    </row>
    <row r="229" spans="1:10" hidden="1" x14ac:dyDescent="0.3">
      <c r="A229" t="s">
        <v>807</v>
      </c>
      <c r="B229" s="5">
        <v>780000000</v>
      </c>
      <c r="C229" t="s">
        <v>1589</v>
      </c>
      <c r="D229" t="s">
        <v>16</v>
      </c>
      <c r="E229" t="s">
        <v>783</v>
      </c>
      <c r="F229" t="s">
        <v>784</v>
      </c>
      <c r="G229">
        <v>3</v>
      </c>
      <c r="H229">
        <v>3</v>
      </c>
      <c r="I229">
        <v>3</v>
      </c>
      <c r="J229" t="s">
        <v>19</v>
      </c>
    </row>
    <row r="230" spans="1:10" hidden="1" x14ac:dyDescent="0.3">
      <c r="A230" t="s">
        <v>810</v>
      </c>
      <c r="B230" s="5">
        <v>500000000</v>
      </c>
      <c r="C230" t="s">
        <v>1590</v>
      </c>
      <c r="D230" t="s">
        <v>16</v>
      </c>
      <c r="E230" t="s">
        <v>783</v>
      </c>
      <c r="F230" t="s">
        <v>784</v>
      </c>
      <c r="G230">
        <v>5</v>
      </c>
      <c r="H230">
        <v>5</v>
      </c>
      <c r="I230">
        <v>5</v>
      </c>
      <c r="J230" t="s">
        <v>38</v>
      </c>
    </row>
    <row r="231" spans="1:10" hidden="1" x14ac:dyDescent="0.3">
      <c r="A231" t="s">
        <v>813</v>
      </c>
      <c r="B231" s="5">
        <v>4500000000</v>
      </c>
      <c r="C231" t="s">
        <v>1589</v>
      </c>
      <c r="D231" t="s">
        <v>16</v>
      </c>
      <c r="E231" t="s">
        <v>783</v>
      </c>
      <c r="F231" t="s">
        <v>784</v>
      </c>
      <c r="G231">
        <v>5</v>
      </c>
      <c r="H231">
        <v>5</v>
      </c>
      <c r="I231">
        <v>2</v>
      </c>
      <c r="J231" t="s">
        <v>38</v>
      </c>
    </row>
    <row r="232" spans="1:10" hidden="1" x14ac:dyDescent="0.3">
      <c r="A232" t="s">
        <v>816</v>
      </c>
      <c r="B232" s="5">
        <v>1290000000</v>
      </c>
      <c r="C232" t="s">
        <v>1589</v>
      </c>
      <c r="D232" t="s">
        <v>16</v>
      </c>
      <c r="E232" t="s">
        <v>783</v>
      </c>
      <c r="F232" t="s">
        <v>792</v>
      </c>
      <c r="G232">
        <v>10</v>
      </c>
      <c r="H232">
        <v>10</v>
      </c>
      <c r="I232">
        <v>7</v>
      </c>
      <c r="J232" t="s">
        <v>38</v>
      </c>
    </row>
    <row r="484" spans="2:3" x14ac:dyDescent="0.3">
      <c r="B484" s="5"/>
      <c r="C484" s="5"/>
    </row>
    <row r="485" spans="2:3" x14ac:dyDescent="0.3">
      <c r="B485" s="5"/>
      <c r="C485" s="5"/>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E0325-C39D-456D-8CC3-F0DCEDFFBB78}">
  <sheetPr codeName="Sheet5">
    <tabColor rgb="FFFFFF00"/>
  </sheetPr>
  <dimension ref="A1:O98"/>
  <sheetViews>
    <sheetView topLeftCell="D1" workbookViewId="0">
      <selection activeCell="M33" sqref="M33"/>
    </sheetView>
  </sheetViews>
  <sheetFormatPr defaultRowHeight="14.4" x14ac:dyDescent="0.3"/>
  <cols>
    <col min="1" max="1" width="12.5546875" bestFit="1" customWidth="1"/>
    <col min="2" max="2" width="17.33203125" bestFit="1" customWidth="1"/>
    <col min="3" max="3" width="20.33203125" customWidth="1"/>
    <col min="4" max="4" width="19.5546875" bestFit="1" customWidth="1"/>
    <col min="5" max="5" width="16.44140625" bestFit="1" customWidth="1"/>
    <col min="6" max="6" width="15.77734375" bestFit="1" customWidth="1"/>
    <col min="7" max="7" width="15.44140625" bestFit="1" customWidth="1"/>
    <col min="8" max="8" width="14.88671875" bestFit="1" customWidth="1"/>
    <col min="9" max="9" width="12.5546875" bestFit="1" customWidth="1"/>
    <col min="10" max="10" width="17.33203125" bestFit="1" customWidth="1"/>
    <col min="11" max="11" width="16.44140625" bestFit="1" customWidth="1"/>
    <col min="12" max="12" width="9.109375" bestFit="1" customWidth="1"/>
    <col min="13" max="13" width="20.5546875" customWidth="1"/>
    <col min="14" max="14" width="10.33203125" bestFit="1" customWidth="1"/>
    <col min="15" max="15" width="8.5546875" bestFit="1" customWidth="1"/>
    <col min="16" max="28" width="9.109375" bestFit="1" customWidth="1"/>
    <col min="29" max="52" width="10.109375" bestFit="1" customWidth="1"/>
    <col min="53" max="55" width="11.109375" bestFit="1" customWidth="1"/>
    <col min="56" max="56" width="10.77734375" bestFit="1" customWidth="1"/>
  </cols>
  <sheetData>
    <row r="1" spans="1:15" x14ac:dyDescent="0.3">
      <c r="M1" s="8" t="s">
        <v>1604</v>
      </c>
      <c r="N1" s="2" t="s">
        <v>1610</v>
      </c>
      <c r="O1" s="2" t="s">
        <v>1609</v>
      </c>
    </row>
    <row r="2" spans="1:15" x14ac:dyDescent="0.3">
      <c r="A2" s="12" t="s">
        <v>1598</v>
      </c>
      <c r="B2" s="12"/>
      <c r="D2" s="12" t="s">
        <v>1599</v>
      </c>
      <c r="E2" s="12"/>
      <c r="M2" s="2" t="s">
        <v>1605</v>
      </c>
      <c r="N2">
        <f>GETPIVOTDATA("[Measures].[Count of price_ngn 2]",$I$8,"[Table2].[listing_type]","[Table2].[listing_type].&amp;[rent]")</f>
        <v>250</v>
      </c>
      <c r="O2" t="str">
        <f>IFERROR(TEXT(N2,"#,##0"),0)</f>
        <v>250</v>
      </c>
    </row>
    <row r="3" spans="1:15" x14ac:dyDescent="0.3">
      <c r="A3" s="13" t="str">
        <f>$A$2&amp;" "&amp;"("&amp;_xlfn.XLOOKUP(MAX($B$5:$B$20),$B$5:$B$20,$A$5:$A$20,"NA",0) &amp;" "&amp;"Leads with"&amp;" "&amp;TEXT(MAX($B$5:$B$20),"₦#,##0.0,,""M""")&amp;")"</f>
        <v>Median Annual rent by Area (Maitama Leads with ₦50.0M)</v>
      </c>
      <c r="B3" s="13"/>
      <c r="D3" s="13" t="str">
        <f>$D$2&amp;" "&amp;"("&amp;_xlfn.XLOOKUP(MAX($E$5:$E$8),$E$5:$E$8,$D$5:$D$8,"NA",0)&amp;" "&amp;"Leads with"&amp;" "&amp;MAX($E$5:$E$8)&amp;" "&amp;"Listings)"</f>
        <v>Rental Listings by Price Tier (₦5M to below ₦15M Leads with 97 Listings)</v>
      </c>
      <c r="E3" s="13"/>
      <c r="I3" s="6" t="s">
        <v>1593</v>
      </c>
      <c r="J3" t="s">
        <v>1611</v>
      </c>
      <c r="K3" t="s">
        <v>1612</v>
      </c>
      <c r="M3" s="2" t="s">
        <v>1606</v>
      </c>
      <c r="N3">
        <f>GETPIVOTDATA("[Measures].[Median Rent Price]",$I$12,"[Table2].[listing_type]","[Table2].[listing_type].&amp;[rent]")</f>
        <v>7500000</v>
      </c>
      <c r="O3" t="str">
        <f>IFERROR(TEXT(N3,"₦#,##0.0,,""M"""),0)</f>
        <v>₦7.5M</v>
      </c>
    </row>
    <row r="4" spans="1:15" x14ac:dyDescent="0.3">
      <c r="A4" s="6" t="s">
        <v>1593</v>
      </c>
      <c r="B4" t="s">
        <v>1597</v>
      </c>
      <c r="D4" s="6" t="s">
        <v>1593</v>
      </c>
      <c r="E4" t="s">
        <v>1595</v>
      </c>
      <c r="I4" s="4" t="s">
        <v>820</v>
      </c>
      <c r="J4" s="5">
        <v>250000000</v>
      </c>
      <c r="K4" s="5">
        <v>800000</v>
      </c>
      <c r="M4" s="2" t="s">
        <v>1607</v>
      </c>
      <c r="N4">
        <f>GETPIVOTDATA("[Measures].[Min of price_ngn]",$I$3,"[Table2].[listing_type]","[Table2].[listing_type].&amp;[rent]")</f>
        <v>800000</v>
      </c>
      <c r="O4" t="str">
        <f>IFERROR(TEXT(N4,"₦#,##0,""K"""),0)</f>
        <v>₦800K</v>
      </c>
    </row>
    <row r="5" spans="1:15" x14ac:dyDescent="0.3">
      <c r="A5" s="4" t="s">
        <v>259</v>
      </c>
      <c r="B5" s="5">
        <v>3500000</v>
      </c>
      <c r="D5" s="4" t="s">
        <v>1587</v>
      </c>
      <c r="E5" s="15">
        <v>97</v>
      </c>
      <c r="M5" s="2" t="s">
        <v>1608</v>
      </c>
      <c r="N5">
        <f>GETPIVOTDATA("[Measures].[Max of price_ngn]",$I$3,"[Table2].[listing_type]","[Table2].[listing_type].&amp;[rent]")</f>
        <v>250000000</v>
      </c>
      <c r="O5" t="str">
        <f>IFERROR(TEXT(N5,"₦#,##0.0,,""M"""),0)</f>
        <v>₦250.0M</v>
      </c>
    </row>
    <row r="6" spans="1:15" x14ac:dyDescent="0.3">
      <c r="A6" s="4" t="s">
        <v>200</v>
      </c>
      <c r="B6" s="5">
        <v>4250000</v>
      </c>
      <c r="D6" s="4" t="s">
        <v>1586</v>
      </c>
      <c r="E6" s="15">
        <v>53</v>
      </c>
    </row>
    <row r="7" spans="1:15" x14ac:dyDescent="0.3">
      <c r="A7" s="4" t="s">
        <v>677</v>
      </c>
      <c r="B7" s="5">
        <v>4500000</v>
      </c>
      <c r="D7" s="4" t="s">
        <v>1585</v>
      </c>
      <c r="E7" s="15">
        <v>19</v>
      </c>
    </row>
    <row r="8" spans="1:15" x14ac:dyDescent="0.3">
      <c r="A8" s="4" t="s">
        <v>389</v>
      </c>
      <c r="B8" s="5">
        <v>4750000</v>
      </c>
      <c r="D8" s="4" t="s">
        <v>1588</v>
      </c>
      <c r="E8" s="15">
        <v>81</v>
      </c>
      <c r="I8" s="6" t="s">
        <v>1593</v>
      </c>
      <c r="J8" t="s">
        <v>1595</v>
      </c>
    </row>
    <row r="9" spans="1:15" x14ac:dyDescent="0.3">
      <c r="A9" s="4" t="s">
        <v>501</v>
      </c>
      <c r="B9" s="5">
        <v>5000000</v>
      </c>
      <c r="I9" s="4" t="s">
        <v>820</v>
      </c>
      <c r="J9" s="9">
        <v>250</v>
      </c>
    </row>
    <row r="10" spans="1:15" x14ac:dyDescent="0.3">
      <c r="A10" s="4" t="s">
        <v>134</v>
      </c>
      <c r="B10" s="5">
        <v>6000000</v>
      </c>
    </row>
    <row r="11" spans="1:15" x14ac:dyDescent="0.3">
      <c r="A11" s="4" t="s">
        <v>570</v>
      </c>
      <c r="B11" s="5">
        <v>6000000</v>
      </c>
    </row>
    <row r="12" spans="1:15" x14ac:dyDescent="0.3">
      <c r="A12" s="4" t="s">
        <v>445</v>
      </c>
      <c r="B12" s="5">
        <v>7500000</v>
      </c>
      <c r="I12" s="6" t="s">
        <v>1593</v>
      </c>
      <c r="J12" t="s">
        <v>1595</v>
      </c>
      <c r="K12" t="s">
        <v>1597</v>
      </c>
    </row>
    <row r="13" spans="1:15" x14ac:dyDescent="0.3">
      <c r="A13" s="4" t="s">
        <v>325</v>
      </c>
      <c r="B13" s="5">
        <v>9000000</v>
      </c>
      <c r="I13" s="4" t="s">
        <v>820</v>
      </c>
      <c r="J13" s="9">
        <v>250</v>
      </c>
      <c r="K13" s="9">
        <v>7500000</v>
      </c>
    </row>
    <row r="14" spans="1:15" x14ac:dyDescent="0.3">
      <c r="A14" s="4" t="s">
        <v>236</v>
      </c>
      <c r="B14" s="5">
        <v>11000000</v>
      </c>
      <c r="F14" s="10" t="s">
        <v>1625</v>
      </c>
    </row>
    <row r="15" spans="1:15" x14ac:dyDescent="0.3">
      <c r="A15" s="4" t="s">
        <v>783</v>
      </c>
      <c r="B15" s="5">
        <v>11000000</v>
      </c>
    </row>
    <row r="16" spans="1:15" x14ac:dyDescent="0.3">
      <c r="A16" s="4" t="s">
        <v>733</v>
      </c>
      <c r="B16" s="5">
        <v>16000000</v>
      </c>
    </row>
    <row r="17" spans="1:5" x14ac:dyDescent="0.3">
      <c r="A17" s="4" t="s">
        <v>42</v>
      </c>
      <c r="B17" s="5">
        <v>17500000</v>
      </c>
    </row>
    <row r="18" spans="1:5" x14ac:dyDescent="0.3">
      <c r="A18" s="4" t="s">
        <v>284</v>
      </c>
      <c r="B18" s="5">
        <v>21500000</v>
      </c>
    </row>
    <row r="19" spans="1:5" x14ac:dyDescent="0.3">
      <c r="A19" s="4" t="s">
        <v>84</v>
      </c>
      <c r="B19" s="5">
        <v>25000000</v>
      </c>
    </row>
    <row r="20" spans="1:5" x14ac:dyDescent="0.3">
      <c r="A20" s="4" t="s">
        <v>17</v>
      </c>
      <c r="B20" s="5">
        <v>50000000</v>
      </c>
    </row>
    <row r="24" spans="1:5" x14ac:dyDescent="0.3">
      <c r="A24" s="12" t="s">
        <v>1600</v>
      </c>
      <c r="B24" s="12"/>
      <c r="D24" s="12" t="s">
        <v>1601</v>
      </c>
      <c r="E24" s="12"/>
    </row>
    <row r="25" spans="1:5" x14ac:dyDescent="0.3">
      <c r="A25" s="13" t="str">
        <f>$A$24&amp;" "&amp;"("&amp;_xlfn.XLOOKUP(MAX($B$27:$B$42),$B$27:$B$42,$A$27:$A$42,"NA",0)&amp;" Leads with "&amp;MAX($B$27:$B$42)&amp;" Listings)"</f>
        <v>Rental listing count by Area (Guzape Leads with 21 Listings)</v>
      </c>
      <c r="B25" s="13"/>
      <c r="D25" s="13" t="str">
        <f>$D$24&amp;" ("&amp;_xlfn.XLOOKUP(MAX($E$27:$E$34),$E$27:$E$34,$D$27:$D$34,"NA",0)&amp;" Bedroom Leads with "&amp;TEXT(MAX($E$27:$E$34),"₦#,##0.0,,""M""")&amp;")"</f>
        <v>Median Annual rent by Bedroom Count (10 Bedroom Leads with ₦250.0M)</v>
      </c>
      <c r="E25" s="13"/>
    </row>
    <row r="26" spans="1:5" x14ac:dyDescent="0.3">
      <c r="A26" s="6" t="s">
        <v>1593</v>
      </c>
      <c r="B26" t="s">
        <v>1595</v>
      </c>
      <c r="D26" s="6" t="s">
        <v>1593</v>
      </c>
      <c r="E26" t="s">
        <v>1597</v>
      </c>
    </row>
    <row r="27" spans="1:5" x14ac:dyDescent="0.3">
      <c r="A27" s="4" t="s">
        <v>42</v>
      </c>
      <c r="B27" s="7">
        <v>4</v>
      </c>
      <c r="D27" s="4">
        <v>10</v>
      </c>
      <c r="E27" s="5">
        <v>250000000</v>
      </c>
    </row>
    <row r="28" spans="1:5" x14ac:dyDescent="0.3">
      <c r="A28" s="4" t="s">
        <v>445</v>
      </c>
      <c r="B28" s="7">
        <v>5</v>
      </c>
      <c r="D28" s="4">
        <v>7</v>
      </c>
      <c r="E28" s="5">
        <v>70000000</v>
      </c>
    </row>
    <row r="29" spans="1:5" x14ac:dyDescent="0.3">
      <c r="A29" s="4" t="s">
        <v>236</v>
      </c>
      <c r="B29" s="7">
        <v>12</v>
      </c>
      <c r="D29" s="4">
        <v>6</v>
      </c>
      <c r="E29" s="5">
        <v>30000000</v>
      </c>
    </row>
    <row r="30" spans="1:5" x14ac:dyDescent="0.3">
      <c r="A30" s="4" t="s">
        <v>134</v>
      </c>
      <c r="B30" s="7">
        <v>13</v>
      </c>
      <c r="D30" s="4">
        <v>5</v>
      </c>
      <c r="E30" s="5">
        <v>25000000</v>
      </c>
    </row>
    <row r="31" spans="1:5" x14ac:dyDescent="0.3">
      <c r="A31" s="4" t="s">
        <v>84</v>
      </c>
      <c r="B31" s="7">
        <v>15</v>
      </c>
      <c r="D31" s="4">
        <v>4</v>
      </c>
      <c r="E31" s="5">
        <v>13500000</v>
      </c>
    </row>
    <row r="32" spans="1:5" x14ac:dyDescent="0.3">
      <c r="A32" s="4" t="s">
        <v>783</v>
      </c>
      <c r="B32" s="7">
        <v>16</v>
      </c>
      <c r="D32" s="4">
        <v>3</v>
      </c>
      <c r="E32" s="5">
        <v>6250000</v>
      </c>
    </row>
    <row r="33" spans="1:5" x14ac:dyDescent="0.3">
      <c r="A33" s="4" t="s">
        <v>259</v>
      </c>
      <c r="B33" s="7">
        <v>17</v>
      </c>
      <c r="D33" s="4">
        <v>2</v>
      </c>
      <c r="E33" s="5">
        <v>4000000</v>
      </c>
    </row>
    <row r="34" spans="1:5" x14ac:dyDescent="0.3">
      <c r="A34" s="4" t="s">
        <v>501</v>
      </c>
      <c r="B34" s="7">
        <v>17</v>
      </c>
      <c r="D34" s="4">
        <v>1</v>
      </c>
      <c r="E34" s="5">
        <v>2000000</v>
      </c>
    </row>
    <row r="35" spans="1:5" x14ac:dyDescent="0.3">
      <c r="A35" s="4" t="s">
        <v>325</v>
      </c>
      <c r="B35" s="7">
        <v>17</v>
      </c>
      <c r="D35" s="4" t="s">
        <v>1594</v>
      </c>
      <c r="E35" s="5">
        <v>7500000</v>
      </c>
    </row>
    <row r="36" spans="1:5" x14ac:dyDescent="0.3">
      <c r="A36" s="4" t="s">
        <v>284</v>
      </c>
      <c r="B36" s="7">
        <v>18</v>
      </c>
    </row>
    <row r="37" spans="1:5" x14ac:dyDescent="0.3">
      <c r="A37" s="4" t="s">
        <v>17</v>
      </c>
      <c r="B37" s="7">
        <v>18</v>
      </c>
    </row>
    <row r="38" spans="1:5" x14ac:dyDescent="0.3">
      <c r="A38" s="4" t="s">
        <v>570</v>
      </c>
      <c r="B38" s="7">
        <v>18</v>
      </c>
    </row>
    <row r="39" spans="1:5" x14ac:dyDescent="0.3">
      <c r="A39" s="4" t="s">
        <v>677</v>
      </c>
      <c r="B39" s="7">
        <v>19</v>
      </c>
    </row>
    <row r="40" spans="1:5" x14ac:dyDescent="0.3">
      <c r="A40" s="4" t="s">
        <v>200</v>
      </c>
      <c r="B40" s="7">
        <v>20</v>
      </c>
    </row>
    <row r="41" spans="1:5" x14ac:dyDescent="0.3">
      <c r="A41" s="4" t="s">
        <v>389</v>
      </c>
      <c r="B41" s="7">
        <v>20</v>
      </c>
    </row>
    <row r="42" spans="1:5" x14ac:dyDescent="0.3">
      <c r="A42" s="4" t="s">
        <v>733</v>
      </c>
      <c r="B42" s="7">
        <v>21</v>
      </c>
    </row>
    <row r="46" spans="1:5" x14ac:dyDescent="0.3">
      <c r="A46" s="12" t="s">
        <v>1603</v>
      </c>
      <c r="B46" s="12"/>
      <c r="D46" s="12" t="s">
        <v>1602</v>
      </c>
      <c r="E46" s="12"/>
    </row>
    <row r="47" spans="1:5" x14ac:dyDescent="0.3">
      <c r="A47" s="13" t="str">
        <f>$A$46&amp;" ("&amp;_xlfn.XLOOKUP(MAX($B$49:$B$54),$B$49:$B$54,$A$49:$A$54,"NA",0)&amp;" Leads with "&amp;MAX($B$49:$B$54)&amp;" Listings)"</f>
        <v>Rental listing count by Property Type (Flat/Apartment Leads with 110 Listings)</v>
      </c>
      <c r="B47" s="13"/>
      <c r="D47" s="13" t="str">
        <f>$D$46&amp;" ("&amp;_xlfn.XLOOKUP(MAX($E$49:$E$54),$E$49:$E$54,$D$49:$D$54,"NA",0)&amp;" Leads with "&amp;TEXT(MAX($E$49:$E$54),"₦#,##0.0,,""M""")&amp;")"</f>
        <v>Median Annual rent by Property Type (Detached Duplex Leads with ₦20.0M)</v>
      </c>
      <c r="E47" s="13"/>
    </row>
    <row r="48" spans="1:5" x14ac:dyDescent="0.3">
      <c r="A48" s="6" t="s">
        <v>1593</v>
      </c>
      <c r="B48" t="s">
        <v>1595</v>
      </c>
      <c r="D48" s="6" t="s">
        <v>1593</v>
      </c>
      <c r="E48" t="s">
        <v>1597</v>
      </c>
    </row>
    <row r="49" spans="1:5" x14ac:dyDescent="0.3">
      <c r="A49" s="4" t="s">
        <v>91</v>
      </c>
      <c r="B49" s="7">
        <v>6</v>
      </c>
      <c r="D49" s="4" t="s">
        <v>38</v>
      </c>
      <c r="E49" s="5">
        <v>20000000</v>
      </c>
    </row>
    <row r="50" spans="1:5" x14ac:dyDescent="0.3">
      <c r="A50" s="4" t="s">
        <v>70</v>
      </c>
      <c r="B50" s="7">
        <v>22</v>
      </c>
      <c r="D50" s="4" t="s">
        <v>70</v>
      </c>
      <c r="E50" s="5">
        <v>17500000</v>
      </c>
    </row>
    <row r="51" spans="1:5" x14ac:dyDescent="0.3">
      <c r="A51" s="4" t="s">
        <v>193</v>
      </c>
      <c r="B51" s="7">
        <v>23</v>
      </c>
      <c r="D51" s="4" t="s">
        <v>29</v>
      </c>
      <c r="E51" s="5">
        <v>15000000</v>
      </c>
    </row>
    <row r="52" spans="1:5" x14ac:dyDescent="0.3">
      <c r="A52" s="4" t="s">
        <v>38</v>
      </c>
      <c r="B52" s="7">
        <v>39</v>
      </c>
      <c r="D52" s="4" t="s">
        <v>91</v>
      </c>
      <c r="E52" s="5">
        <v>7000000</v>
      </c>
    </row>
    <row r="53" spans="1:5" x14ac:dyDescent="0.3">
      <c r="A53" s="4" t="s">
        <v>29</v>
      </c>
      <c r="B53" s="7">
        <v>50</v>
      </c>
      <c r="D53" s="4" t="s">
        <v>193</v>
      </c>
      <c r="E53" s="5">
        <v>5000000</v>
      </c>
    </row>
    <row r="54" spans="1:5" x14ac:dyDescent="0.3">
      <c r="A54" s="4" t="s">
        <v>19</v>
      </c>
      <c r="B54" s="7">
        <v>110</v>
      </c>
      <c r="D54" s="4" t="s">
        <v>19</v>
      </c>
      <c r="E54" s="5">
        <v>4250000</v>
      </c>
    </row>
    <row r="55" spans="1:5" x14ac:dyDescent="0.3">
      <c r="A55" s="4" t="s">
        <v>1594</v>
      </c>
      <c r="B55" s="7">
        <v>250</v>
      </c>
      <c r="D55" s="4" t="s">
        <v>1594</v>
      </c>
      <c r="E55" s="5">
        <v>7500000</v>
      </c>
    </row>
    <row r="59" spans="1:5" x14ac:dyDescent="0.3">
      <c r="A59" s="12" t="s">
        <v>1613</v>
      </c>
      <c r="B59" s="12"/>
    </row>
    <row r="60" spans="1:5" x14ac:dyDescent="0.3">
      <c r="A60" s="13" t="str">
        <f>$A$59&amp;" ("&amp;_xlfn.XLOOKUP(MAX($B$62:$B$77),$B$62:$B$77,$A$62:$A$77,"NA",0)&amp;" has the widest Rental Price distribution)"</f>
        <v>Rental price distribution by Area (Wuse-2 has the widest Rental Price distribution)</v>
      </c>
      <c r="B60" s="13"/>
    </row>
    <row r="61" spans="1:5" x14ac:dyDescent="0.3">
      <c r="A61" s="6" t="s">
        <v>1593</v>
      </c>
      <c r="B61" t="s">
        <v>1614</v>
      </c>
      <c r="E61" s="5"/>
    </row>
    <row r="62" spans="1:5" x14ac:dyDescent="0.3">
      <c r="A62" s="4" t="s">
        <v>84</v>
      </c>
      <c r="B62" s="5">
        <v>246000000</v>
      </c>
      <c r="D62" t="str">
        <f t="shared" ref="D62:D77" si="0">A62</f>
        <v>Wuse-2</v>
      </c>
      <c r="E62" s="5">
        <f t="shared" ref="E62:E77" si="1">B62</f>
        <v>246000000</v>
      </c>
    </row>
    <row r="63" spans="1:5" x14ac:dyDescent="0.3">
      <c r="A63" s="4" t="s">
        <v>259</v>
      </c>
      <c r="B63" s="5">
        <v>158000000</v>
      </c>
      <c r="D63" t="str">
        <f t="shared" si="0"/>
        <v>Kubwa</v>
      </c>
      <c r="E63" s="5">
        <f t="shared" si="1"/>
        <v>158000000</v>
      </c>
    </row>
    <row r="64" spans="1:5" x14ac:dyDescent="0.3">
      <c r="A64" s="4" t="s">
        <v>17</v>
      </c>
      <c r="B64" s="5">
        <v>144000000</v>
      </c>
      <c r="D64" t="str">
        <f t="shared" si="0"/>
        <v>Maitama</v>
      </c>
      <c r="E64" s="5">
        <f t="shared" si="1"/>
        <v>144000000</v>
      </c>
    </row>
    <row r="65" spans="1:5" x14ac:dyDescent="0.3">
      <c r="A65" s="4" t="s">
        <v>284</v>
      </c>
      <c r="B65" s="5">
        <v>47500000</v>
      </c>
      <c r="D65" t="str">
        <f t="shared" si="0"/>
        <v>Katampe</v>
      </c>
      <c r="E65" s="5">
        <f t="shared" si="1"/>
        <v>47500000</v>
      </c>
    </row>
    <row r="66" spans="1:5" x14ac:dyDescent="0.3">
      <c r="A66" s="4" t="s">
        <v>733</v>
      </c>
      <c r="B66" s="5">
        <v>35000000</v>
      </c>
      <c r="D66" t="str">
        <f t="shared" si="0"/>
        <v>Guzape</v>
      </c>
      <c r="E66" s="5">
        <f t="shared" si="1"/>
        <v>35000000</v>
      </c>
    </row>
    <row r="67" spans="1:5" x14ac:dyDescent="0.3">
      <c r="A67" s="4" t="s">
        <v>236</v>
      </c>
      <c r="B67" s="5">
        <v>31000000</v>
      </c>
      <c r="D67" t="str">
        <f t="shared" si="0"/>
        <v>Jabi</v>
      </c>
      <c r="E67" s="5">
        <f t="shared" si="1"/>
        <v>31000000</v>
      </c>
    </row>
    <row r="68" spans="1:5" x14ac:dyDescent="0.3">
      <c r="A68" s="4" t="s">
        <v>134</v>
      </c>
      <c r="B68" s="5">
        <v>27500000</v>
      </c>
      <c r="D68" t="str">
        <f t="shared" si="0"/>
        <v>Gwarinpa</v>
      </c>
      <c r="E68" s="5">
        <f t="shared" si="1"/>
        <v>27500000</v>
      </c>
    </row>
    <row r="69" spans="1:5" x14ac:dyDescent="0.3">
      <c r="A69" s="4" t="s">
        <v>325</v>
      </c>
      <c r="B69" s="5">
        <v>21400000</v>
      </c>
      <c r="D69" t="str">
        <f t="shared" si="0"/>
        <v>Life-Camp</v>
      </c>
      <c r="E69" s="5">
        <f t="shared" si="1"/>
        <v>21400000</v>
      </c>
    </row>
    <row r="70" spans="1:5" x14ac:dyDescent="0.3">
      <c r="A70" s="4" t="s">
        <v>677</v>
      </c>
      <c r="B70" s="5">
        <v>18900000</v>
      </c>
      <c r="D70" t="str">
        <f t="shared" si="0"/>
        <v>Dawaki</v>
      </c>
      <c r="E70" s="5">
        <f t="shared" si="1"/>
        <v>18900000</v>
      </c>
    </row>
    <row r="71" spans="1:5" x14ac:dyDescent="0.3">
      <c r="A71" s="4" t="s">
        <v>783</v>
      </c>
      <c r="B71" s="5">
        <v>16000000</v>
      </c>
      <c r="D71" t="str">
        <f t="shared" si="0"/>
        <v>Utako</v>
      </c>
      <c r="E71" s="5">
        <f t="shared" si="1"/>
        <v>16000000</v>
      </c>
    </row>
    <row r="72" spans="1:5" x14ac:dyDescent="0.3">
      <c r="A72" s="4" t="s">
        <v>389</v>
      </c>
      <c r="B72" s="5">
        <v>11000000</v>
      </c>
      <c r="D72" t="str">
        <f t="shared" si="0"/>
        <v>Apo</v>
      </c>
      <c r="E72" s="5">
        <f t="shared" si="1"/>
        <v>11000000</v>
      </c>
    </row>
    <row r="73" spans="1:5" x14ac:dyDescent="0.3">
      <c r="A73" s="4" t="s">
        <v>42</v>
      </c>
      <c r="B73" s="5">
        <v>10000000</v>
      </c>
      <c r="D73" t="str">
        <f t="shared" si="0"/>
        <v>Asokoro</v>
      </c>
      <c r="E73" s="5">
        <f t="shared" si="1"/>
        <v>10000000</v>
      </c>
    </row>
    <row r="74" spans="1:5" x14ac:dyDescent="0.3">
      <c r="A74" s="4" t="s">
        <v>501</v>
      </c>
      <c r="B74" s="5">
        <v>9200000</v>
      </c>
      <c r="D74" t="str">
        <f t="shared" si="0"/>
        <v>Lokogoma</v>
      </c>
      <c r="E74" s="5">
        <f t="shared" si="1"/>
        <v>9200000</v>
      </c>
    </row>
    <row r="75" spans="1:5" x14ac:dyDescent="0.3">
      <c r="A75" s="4" t="s">
        <v>570</v>
      </c>
      <c r="B75" s="5">
        <v>8000000</v>
      </c>
      <c r="D75" t="str">
        <f t="shared" si="0"/>
        <v>Galadimawa</v>
      </c>
      <c r="E75" s="5">
        <f t="shared" si="1"/>
        <v>8000000</v>
      </c>
    </row>
    <row r="76" spans="1:5" x14ac:dyDescent="0.3">
      <c r="A76" s="4" t="s">
        <v>200</v>
      </c>
      <c r="B76" s="5">
        <v>6200000</v>
      </c>
      <c r="D76" t="str">
        <f t="shared" si="0"/>
        <v>Lugbe</v>
      </c>
      <c r="E76" s="5">
        <f t="shared" si="1"/>
        <v>6200000</v>
      </c>
    </row>
    <row r="77" spans="1:5" x14ac:dyDescent="0.3">
      <c r="A77" s="4" t="s">
        <v>445</v>
      </c>
      <c r="B77" s="5">
        <v>2500000</v>
      </c>
      <c r="D77" t="str">
        <f t="shared" si="0"/>
        <v>Karsana</v>
      </c>
      <c r="E77" s="5">
        <f t="shared" si="1"/>
        <v>2500000</v>
      </c>
    </row>
    <row r="82" spans="7:8" x14ac:dyDescent="0.3">
      <c r="G82" s="5"/>
      <c r="H82" s="5"/>
    </row>
    <row r="83" spans="7:8" x14ac:dyDescent="0.3">
      <c r="G83" s="5"/>
      <c r="H83" s="5"/>
    </row>
    <row r="84" spans="7:8" x14ac:dyDescent="0.3">
      <c r="G84" s="5"/>
      <c r="H84" s="5"/>
    </row>
    <row r="85" spans="7:8" x14ac:dyDescent="0.3">
      <c r="G85" s="5"/>
      <c r="H85" s="5"/>
    </row>
    <row r="86" spans="7:8" x14ac:dyDescent="0.3">
      <c r="G86" s="5"/>
      <c r="H86" s="5"/>
    </row>
    <row r="87" spans="7:8" x14ac:dyDescent="0.3">
      <c r="G87" s="5"/>
      <c r="H87" s="5"/>
    </row>
    <row r="88" spans="7:8" x14ac:dyDescent="0.3">
      <c r="G88" s="5"/>
      <c r="H88" s="5"/>
    </row>
    <row r="89" spans="7:8" x14ac:dyDescent="0.3">
      <c r="G89" s="5"/>
      <c r="H89" s="5"/>
    </row>
    <row r="90" spans="7:8" x14ac:dyDescent="0.3">
      <c r="G90" s="5"/>
      <c r="H90" s="5"/>
    </row>
    <row r="91" spans="7:8" x14ac:dyDescent="0.3">
      <c r="G91" s="5"/>
      <c r="H91" s="5"/>
    </row>
    <row r="92" spans="7:8" x14ac:dyDescent="0.3">
      <c r="G92" s="5"/>
      <c r="H92" s="5"/>
    </row>
    <row r="93" spans="7:8" x14ac:dyDescent="0.3">
      <c r="G93" s="5"/>
      <c r="H93" s="5"/>
    </row>
    <row r="94" spans="7:8" x14ac:dyDescent="0.3">
      <c r="G94" s="5"/>
      <c r="H94" s="5"/>
    </row>
    <row r="95" spans="7:8" x14ac:dyDescent="0.3">
      <c r="G95" s="5"/>
      <c r="H95" s="5"/>
    </row>
    <row r="96" spans="7:8" x14ac:dyDescent="0.3">
      <c r="G96" s="5"/>
      <c r="H96" s="5"/>
    </row>
    <row r="97" spans="4:8" x14ac:dyDescent="0.3">
      <c r="G97" s="5"/>
      <c r="H97" s="5"/>
    </row>
    <row r="98" spans="4:8" x14ac:dyDescent="0.3">
      <c r="D98" s="2"/>
    </row>
  </sheetData>
  <mergeCells count="14">
    <mergeCell ref="A59:B59"/>
    <mergeCell ref="A60:B60"/>
    <mergeCell ref="A2:B2"/>
    <mergeCell ref="D2:E2"/>
    <mergeCell ref="A24:B24"/>
    <mergeCell ref="D24:E24"/>
    <mergeCell ref="D46:E46"/>
    <mergeCell ref="A25:B25"/>
    <mergeCell ref="D25:E25"/>
    <mergeCell ref="A46:B46"/>
    <mergeCell ref="A3:B3"/>
    <mergeCell ref="D3:E3"/>
    <mergeCell ref="A47:B47"/>
    <mergeCell ref="D47:E47"/>
  </mergeCells>
  <pageMargins left="0.7" right="0.7" top="0.75" bottom="0.75" header="0.3" footer="0.3"/>
  <ignoredErrors>
    <ignoredError sqref="O4" formula="1"/>
  </ignoredErrors>
  <drawing r:id="rId11"/>
  <extLst>
    <ext xmlns:x14="http://schemas.microsoft.com/office/spreadsheetml/2009/9/main" uri="{A8765BA9-456A-4dab-B4F3-ACF838C121DE}">
      <x14:slicerList>
        <x14:slicer r:id="rId1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34E0-3F78-4D51-9BC1-590A4D843868}">
  <sheetPr codeName="Sheet6">
    <tabColor theme="4" tint="-0.249977111117893"/>
  </sheetPr>
  <dimension ref="A1"/>
  <sheetViews>
    <sheetView showGridLines="0" showRowColHeaders="0" workbookViewId="0">
      <selection activeCell="E1" sqref="E1"/>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A95E9-01B4-4C5C-B50D-872110A4A706}">
  <sheetPr codeName="Sheet7">
    <tabColor theme="4" tint="-0.249977111117893"/>
  </sheetPr>
  <dimension ref="A1"/>
  <sheetViews>
    <sheetView showGridLines="0" showRowColHeaders="0"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95B00-6E37-4435-A1C8-AD0B769258F9}">
  <sheetPr codeName="Sheet8">
    <tabColor rgb="FFFFFF00"/>
  </sheetPr>
  <dimension ref="A1:S84"/>
  <sheetViews>
    <sheetView topLeftCell="D1" workbookViewId="0">
      <selection activeCell="O6" sqref="O6"/>
    </sheetView>
  </sheetViews>
  <sheetFormatPr defaultRowHeight="14.4" x14ac:dyDescent="0.3"/>
  <cols>
    <col min="1" max="1" width="19.5546875" bestFit="1" customWidth="1"/>
    <col min="2" max="2" width="17.33203125" bestFit="1" customWidth="1"/>
    <col min="3" max="3" width="22.6640625" customWidth="1"/>
    <col min="4" max="4" width="12.5546875" bestFit="1" customWidth="1"/>
    <col min="5" max="5" width="17.33203125" bestFit="1" customWidth="1"/>
    <col min="6" max="7" width="15.5546875" bestFit="1" customWidth="1"/>
    <col min="8" max="8" width="18.5546875" customWidth="1"/>
    <col min="9" max="9" width="12.5546875" bestFit="1" customWidth="1"/>
    <col min="10" max="10" width="16.6640625" bestFit="1" customWidth="1"/>
    <col min="11" max="11" width="15.5546875" bestFit="1" customWidth="1"/>
    <col min="12" max="12" width="16.33203125" bestFit="1" customWidth="1"/>
    <col min="13" max="16" width="15.5546875" bestFit="1" customWidth="1"/>
    <col min="17" max="19" width="16.33203125" bestFit="1" customWidth="1"/>
    <col min="20" max="20" width="10.77734375" bestFit="1" customWidth="1"/>
    <col min="21" max="21" width="18.77734375" bestFit="1" customWidth="1"/>
  </cols>
  <sheetData>
    <row r="1" spans="1:15" x14ac:dyDescent="0.3">
      <c r="I1" s="6" t="s">
        <v>1593</v>
      </c>
      <c r="J1" t="s">
        <v>1595</v>
      </c>
      <c r="M1" s="8" t="s">
        <v>1604</v>
      </c>
      <c r="N1" s="2" t="s">
        <v>1610</v>
      </c>
      <c r="O1" s="2" t="s">
        <v>1609</v>
      </c>
    </row>
    <row r="2" spans="1:15" x14ac:dyDescent="0.3">
      <c r="A2" s="12" t="s">
        <v>1615</v>
      </c>
      <c r="B2" s="12"/>
      <c r="D2" s="12" t="s">
        <v>1617</v>
      </c>
      <c r="E2" s="12"/>
      <c r="I2" s="4" t="s">
        <v>16</v>
      </c>
      <c r="J2" s="15">
        <v>231</v>
      </c>
      <c r="M2" s="2" t="s">
        <v>1621</v>
      </c>
      <c r="N2">
        <f>GETPIVOTDATA("[Measures].[Count of price_ngn]",$I$1)</f>
        <v>231</v>
      </c>
      <c r="O2" t="str">
        <f>IFERROR(TEXT($N$2,"#,##0"),0)</f>
        <v>231</v>
      </c>
    </row>
    <row r="3" spans="1:15" x14ac:dyDescent="0.3">
      <c r="A3" s="13" t="str">
        <f>$A$2 &amp;" (" &amp;_xlfn.XLOOKUP(MAX($B$5:$B$20),$B$5:$B$20,$A$5:$A$20,"NA",0)&amp;" Leads with "&amp;TEXT(MAX($B$5:$B$20),"₦#,##0.0,,""M""")&amp;")"</f>
        <v>Median Sale Price by Area (Asokoro Leads with ₦1,100.0M)</v>
      </c>
      <c r="B3" s="13"/>
      <c r="D3" s="13" t="str">
        <f>$D$2 &amp;" ("&amp;_xlfn.XLOOKUP(MAX($E$5:$E$8),$E$5:$E$8,$D$5:$D$8,"NA",0)&amp;" Leads with "&amp;MAX($E$5:$E$8)&amp;" Listings)"</f>
        <v>Sale Listing Count by Price Tier (₦250M to below ₦750M Leads with 93 Listings)</v>
      </c>
      <c r="E3" s="13"/>
      <c r="I3" s="4" t="s">
        <v>1594</v>
      </c>
      <c r="J3" s="15">
        <v>231</v>
      </c>
      <c r="M3" s="2" t="s">
        <v>1622</v>
      </c>
      <c r="N3">
        <f>GETPIVOTDATA("[Measures].[Median Sale Price]",$I$6)</f>
        <v>260000000</v>
      </c>
      <c r="O3" t="str">
        <f>IFERROR(TEXT($N$3,"₦#,##0.0,,""M"""),0)</f>
        <v>₦260.0M</v>
      </c>
    </row>
    <row r="4" spans="1:15" x14ac:dyDescent="0.3">
      <c r="A4" s="6" t="s">
        <v>1593</v>
      </c>
      <c r="B4" t="s">
        <v>1596</v>
      </c>
      <c r="D4" s="6" t="s">
        <v>1593</v>
      </c>
      <c r="E4" t="s">
        <v>1595</v>
      </c>
      <c r="M4" s="2" t="s">
        <v>1623</v>
      </c>
      <c r="N4">
        <f>GETPIVOTDATA("[Measures].[Min of price_ngn 2]",$I$11)</f>
        <v>36508320</v>
      </c>
      <c r="O4" t="str">
        <f>IFERROR(TEXT($N$4,"₦#,##0.0,,""M"""),0)</f>
        <v>₦36.5M</v>
      </c>
    </row>
    <row r="5" spans="1:15" x14ac:dyDescent="0.3">
      <c r="A5" s="4" t="s">
        <v>259</v>
      </c>
      <c r="B5" s="5">
        <v>85000000</v>
      </c>
      <c r="D5" s="4" t="s">
        <v>1590</v>
      </c>
      <c r="E5" s="15">
        <v>93</v>
      </c>
      <c r="F5" s="11"/>
      <c r="M5" s="2" t="s">
        <v>1624</v>
      </c>
      <c r="N5">
        <f>GETPIVOTDATA("[Measures].[Max of price_ngn 2]",$I$16)</f>
        <v>5000000000</v>
      </c>
      <c r="O5" t="str">
        <f>IFERROR(TEXT($N$5,"₦#,##0.0,,""M"""),0)</f>
        <v>₦5,000.0M</v>
      </c>
    </row>
    <row r="6" spans="1:15" x14ac:dyDescent="0.3">
      <c r="A6" s="4" t="s">
        <v>200</v>
      </c>
      <c r="B6" s="5">
        <v>120000000</v>
      </c>
      <c r="D6" s="4" t="s">
        <v>1591</v>
      </c>
      <c r="E6" s="15">
        <v>92</v>
      </c>
      <c r="F6" s="11"/>
      <c r="I6" s="6" t="s">
        <v>1593</v>
      </c>
      <c r="J6" t="s">
        <v>1596</v>
      </c>
    </row>
    <row r="7" spans="1:15" x14ac:dyDescent="0.3">
      <c r="A7" s="4" t="s">
        <v>677</v>
      </c>
      <c r="B7" s="5">
        <v>140000000</v>
      </c>
      <c r="D7" s="4" t="s">
        <v>1589</v>
      </c>
      <c r="E7" s="15">
        <v>42</v>
      </c>
      <c r="F7" s="11"/>
      <c r="I7" s="4" t="s">
        <v>16</v>
      </c>
      <c r="J7" s="16">
        <v>260000000</v>
      </c>
    </row>
    <row r="8" spans="1:15" x14ac:dyDescent="0.3">
      <c r="A8" s="4" t="s">
        <v>501</v>
      </c>
      <c r="B8" s="5">
        <v>180000000</v>
      </c>
      <c r="D8" s="4" t="s">
        <v>1592</v>
      </c>
      <c r="E8" s="15">
        <v>4</v>
      </c>
      <c r="I8" s="4" t="s">
        <v>1594</v>
      </c>
      <c r="J8" s="16">
        <v>260000000</v>
      </c>
    </row>
    <row r="9" spans="1:15" x14ac:dyDescent="0.3">
      <c r="A9" s="4" t="s">
        <v>570</v>
      </c>
      <c r="B9" s="5">
        <v>185000000</v>
      </c>
      <c r="D9" s="4" t="s">
        <v>1594</v>
      </c>
      <c r="E9" s="15">
        <v>231</v>
      </c>
    </row>
    <row r="10" spans="1:15" x14ac:dyDescent="0.3">
      <c r="A10" s="4" t="s">
        <v>389</v>
      </c>
      <c r="B10" s="5">
        <v>232500000</v>
      </c>
    </row>
    <row r="11" spans="1:15" x14ac:dyDescent="0.3">
      <c r="A11" s="4" t="s">
        <v>325</v>
      </c>
      <c r="B11" s="5">
        <v>240000000</v>
      </c>
      <c r="G11" s="3"/>
      <c r="I11" s="6" t="s">
        <v>1593</v>
      </c>
      <c r="J11" t="s">
        <v>1612</v>
      </c>
    </row>
    <row r="12" spans="1:15" x14ac:dyDescent="0.3">
      <c r="A12" s="4" t="s">
        <v>445</v>
      </c>
      <c r="B12" s="5">
        <v>260000000</v>
      </c>
      <c r="G12" s="3"/>
      <c r="I12" s="4" t="s">
        <v>16</v>
      </c>
      <c r="J12" s="5">
        <v>36508320</v>
      </c>
    </row>
    <row r="13" spans="1:15" x14ac:dyDescent="0.3">
      <c r="A13" s="4" t="s">
        <v>134</v>
      </c>
      <c r="B13" s="5">
        <v>260000000</v>
      </c>
      <c r="G13" s="3"/>
      <c r="I13" s="4" t="s">
        <v>1594</v>
      </c>
      <c r="J13" s="5">
        <v>36508320</v>
      </c>
    </row>
    <row r="14" spans="1:15" x14ac:dyDescent="0.3">
      <c r="A14" s="4" t="s">
        <v>236</v>
      </c>
      <c r="B14" s="5">
        <v>282500000</v>
      </c>
      <c r="G14" s="3"/>
    </row>
    <row r="15" spans="1:15" x14ac:dyDescent="0.3">
      <c r="A15" s="4" t="s">
        <v>284</v>
      </c>
      <c r="B15" s="5">
        <v>400000000</v>
      </c>
      <c r="G15" s="3"/>
    </row>
    <row r="16" spans="1:15" x14ac:dyDescent="0.3">
      <c r="A16" s="4" t="s">
        <v>733</v>
      </c>
      <c r="B16" s="5">
        <v>700000000</v>
      </c>
      <c r="G16" s="3"/>
      <c r="I16" s="6" t="s">
        <v>1593</v>
      </c>
      <c r="J16" t="s">
        <v>1611</v>
      </c>
    </row>
    <row r="17" spans="1:10" x14ac:dyDescent="0.3">
      <c r="A17" s="4" t="s">
        <v>17</v>
      </c>
      <c r="B17" s="5">
        <v>750000000</v>
      </c>
      <c r="G17" s="3"/>
      <c r="I17" s="4" t="s">
        <v>16</v>
      </c>
      <c r="J17" s="5">
        <v>5000000000</v>
      </c>
    </row>
    <row r="18" spans="1:10" x14ac:dyDescent="0.3">
      <c r="A18" s="4" t="s">
        <v>783</v>
      </c>
      <c r="B18" s="5">
        <v>765000000</v>
      </c>
      <c r="G18" s="3"/>
      <c r="I18" s="4" t="s">
        <v>1594</v>
      </c>
      <c r="J18" s="5">
        <v>5000000000</v>
      </c>
    </row>
    <row r="19" spans="1:10" x14ac:dyDescent="0.3">
      <c r="A19" s="4" t="s">
        <v>84</v>
      </c>
      <c r="B19" s="5">
        <v>950000000</v>
      </c>
      <c r="G19" s="3"/>
    </row>
    <row r="20" spans="1:10" x14ac:dyDescent="0.3">
      <c r="A20" s="4" t="s">
        <v>42</v>
      </c>
      <c r="B20" s="5">
        <v>1100000000</v>
      </c>
      <c r="G20" s="3"/>
    </row>
    <row r="21" spans="1:10" x14ac:dyDescent="0.3">
      <c r="F21" s="4"/>
      <c r="G21" s="3"/>
    </row>
    <row r="22" spans="1:10" x14ac:dyDescent="0.3">
      <c r="F22" s="4"/>
      <c r="G22" s="3"/>
    </row>
    <row r="23" spans="1:10" x14ac:dyDescent="0.3">
      <c r="F23" s="4"/>
      <c r="G23" s="3"/>
    </row>
    <row r="24" spans="1:10" x14ac:dyDescent="0.3">
      <c r="A24" s="12" t="s">
        <v>1616</v>
      </c>
      <c r="B24" s="14"/>
      <c r="F24" s="4"/>
    </row>
    <row r="25" spans="1:10" x14ac:dyDescent="0.3">
      <c r="A25" s="13" t="str">
        <f>$A$24&amp;" ("&amp;_xlfn.XLOOKUP(MAX($B$27:$B$42),$B$27:$B$42,$A$27:$A$42,"NA",0)&amp;" Leads with "&amp;MAX($B$27:$B$42)&amp;" Listings)"</f>
        <v>Sale Listing Count by Area (Lokogoma Leads with 20 Listings)</v>
      </c>
      <c r="B25" s="13"/>
      <c r="F25" s="4"/>
    </row>
    <row r="26" spans="1:10" x14ac:dyDescent="0.3">
      <c r="A26" s="6" t="s">
        <v>1593</v>
      </c>
      <c r="B26" t="s">
        <v>1595</v>
      </c>
      <c r="F26" s="4"/>
    </row>
    <row r="27" spans="1:10" x14ac:dyDescent="0.3">
      <c r="A27" s="4" t="s">
        <v>17</v>
      </c>
      <c r="B27" s="15">
        <v>5</v>
      </c>
    </row>
    <row r="28" spans="1:10" x14ac:dyDescent="0.3">
      <c r="A28" s="4" t="s">
        <v>200</v>
      </c>
      <c r="B28" s="15">
        <v>9</v>
      </c>
    </row>
    <row r="29" spans="1:10" x14ac:dyDescent="0.3">
      <c r="A29" s="4" t="s">
        <v>42</v>
      </c>
      <c r="B29" s="15">
        <v>11</v>
      </c>
    </row>
    <row r="30" spans="1:10" x14ac:dyDescent="0.3">
      <c r="A30" s="4" t="s">
        <v>783</v>
      </c>
      <c r="B30" s="15">
        <v>12</v>
      </c>
    </row>
    <row r="31" spans="1:10" x14ac:dyDescent="0.3">
      <c r="A31" s="4" t="s">
        <v>236</v>
      </c>
      <c r="B31" s="15">
        <v>12</v>
      </c>
    </row>
    <row r="32" spans="1:10" x14ac:dyDescent="0.3">
      <c r="A32" s="4" t="s">
        <v>284</v>
      </c>
      <c r="B32" s="15">
        <v>12</v>
      </c>
    </row>
    <row r="33" spans="1:5" x14ac:dyDescent="0.3">
      <c r="A33" s="4" t="s">
        <v>259</v>
      </c>
      <c r="B33" s="15">
        <v>14</v>
      </c>
    </row>
    <row r="34" spans="1:5" x14ac:dyDescent="0.3">
      <c r="A34" s="4" t="s">
        <v>84</v>
      </c>
      <c r="B34" s="15">
        <v>15</v>
      </c>
    </row>
    <row r="35" spans="1:5" x14ac:dyDescent="0.3">
      <c r="A35" s="4" t="s">
        <v>733</v>
      </c>
      <c r="B35" s="15">
        <v>15</v>
      </c>
    </row>
    <row r="36" spans="1:5" x14ac:dyDescent="0.3">
      <c r="A36" s="4" t="s">
        <v>389</v>
      </c>
      <c r="B36" s="15">
        <v>16</v>
      </c>
    </row>
    <row r="37" spans="1:5" x14ac:dyDescent="0.3">
      <c r="A37" s="4" t="s">
        <v>445</v>
      </c>
      <c r="B37" s="15">
        <v>17</v>
      </c>
    </row>
    <row r="38" spans="1:5" x14ac:dyDescent="0.3">
      <c r="A38" s="4" t="s">
        <v>134</v>
      </c>
      <c r="B38" s="15">
        <v>18</v>
      </c>
    </row>
    <row r="39" spans="1:5" x14ac:dyDescent="0.3">
      <c r="A39" s="4" t="s">
        <v>677</v>
      </c>
      <c r="B39" s="15">
        <v>18</v>
      </c>
    </row>
    <row r="40" spans="1:5" x14ac:dyDescent="0.3">
      <c r="A40" s="4" t="s">
        <v>325</v>
      </c>
      <c r="B40" s="15">
        <v>18</v>
      </c>
    </row>
    <row r="41" spans="1:5" x14ac:dyDescent="0.3">
      <c r="A41" s="4" t="s">
        <v>570</v>
      </c>
      <c r="B41" s="15">
        <v>19</v>
      </c>
    </row>
    <row r="42" spans="1:5" x14ac:dyDescent="0.3">
      <c r="A42" s="4" t="s">
        <v>501</v>
      </c>
      <c r="B42" s="15">
        <v>20</v>
      </c>
    </row>
    <row r="43" spans="1:5" x14ac:dyDescent="0.3">
      <c r="A43" s="4" t="s">
        <v>1594</v>
      </c>
      <c r="B43" s="15">
        <v>231</v>
      </c>
    </row>
    <row r="46" spans="1:5" x14ac:dyDescent="0.3">
      <c r="A46" s="12" t="s">
        <v>1618</v>
      </c>
      <c r="B46" s="12"/>
      <c r="D46" s="12" t="s">
        <v>1619</v>
      </c>
      <c r="E46" s="12"/>
    </row>
    <row r="47" spans="1:5" x14ac:dyDescent="0.3">
      <c r="A47" s="13" t="str">
        <f>$A$46&amp;" ("&amp;_xlfn.XLOOKUP(MAX($B$49:$B$57),$B$49:$B$57,$A$49:$A$57,"NA",0)&amp;" Bedroom Leads with "&amp;TEXT(MAX($B$49:$B$57),"₦#,##0.0,,""M""")&amp;")"</f>
        <v>Median Sale Price by Bedroom Count (8 Bedroom Leads with ₦2,750.0M)</v>
      </c>
      <c r="B47" s="13"/>
      <c r="D47" s="13" t="str">
        <f>$D$46&amp;" ("&amp;_xlfn.XLOOKUP(MAX($E$49:$E$55),$E$49:$E$55,$D$49:$D$55,"NA",0)&amp;" Leads with "&amp;TEXT(MAX($E$49:$E$55),"₦#,##0.0,,""M""")&amp;")"</f>
        <v>Median Sale Price by Property Type (Mansion Leads with ₦4,000.0M)</v>
      </c>
      <c r="E47" s="13"/>
    </row>
    <row r="48" spans="1:5" x14ac:dyDescent="0.3">
      <c r="A48" s="6" t="s">
        <v>1593</v>
      </c>
      <c r="B48" t="s">
        <v>1596</v>
      </c>
      <c r="D48" s="6" t="s">
        <v>1593</v>
      </c>
      <c r="E48" t="s">
        <v>1596</v>
      </c>
    </row>
    <row r="49" spans="1:19" x14ac:dyDescent="0.3">
      <c r="A49" s="4">
        <v>10</v>
      </c>
      <c r="B49" s="5">
        <v>1645000000</v>
      </c>
      <c r="D49" s="4" t="s">
        <v>48</v>
      </c>
      <c r="E49" s="5">
        <v>4000000000</v>
      </c>
    </row>
    <row r="50" spans="1:19" x14ac:dyDescent="0.3">
      <c r="A50" s="4">
        <v>8</v>
      </c>
      <c r="B50" s="5">
        <v>2750000000</v>
      </c>
      <c r="D50" s="4" t="s">
        <v>38</v>
      </c>
      <c r="E50" s="5">
        <v>485000000</v>
      </c>
    </row>
    <row r="51" spans="1:19" x14ac:dyDescent="0.3">
      <c r="A51" s="4">
        <v>7</v>
      </c>
      <c r="B51" s="5">
        <v>1100000000</v>
      </c>
      <c r="D51" s="4" t="s">
        <v>91</v>
      </c>
      <c r="E51" s="5">
        <v>260000000</v>
      </c>
    </row>
    <row r="52" spans="1:19" x14ac:dyDescent="0.3">
      <c r="A52" s="4">
        <v>6</v>
      </c>
      <c r="B52" s="5">
        <v>600000000</v>
      </c>
      <c r="D52" s="4" t="s">
        <v>29</v>
      </c>
      <c r="E52" s="5">
        <v>250000000</v>
      </c>
    </row>
    <row r="53" spans="1:19" x14ac:dyDescent="0.3">
      <c r="A53" s="4">
        <v>5</v>
      </c>
      <c r="B53" s="5">
        <v>480000000</v>
      </c>
      <c r="D53" s="4" t="s">
        <v>70</v>
      </c>
      <c r="E53" s="5">
        <v>250000000</v>
      </c>
    </row>
    <row r="54" spans="1:19" x14ac:dyDescent="0.3">
      <c r="A54" s="4">
        <v>4</v>
      </c>
      <c r="B54" s="5">
        <v>260000000</v>
      </c>
      <c r="D54" s="4" t="s">
        <v>193</v>
      </c>
      <c r="E54" s="5">
        <v>170000000</v>
      </c>
    </row>
    <row r="55" spans="1:19" x14ac:dyDescent="0.3">
      <c r="A55" s="4">
        <v>3</v>
      </c>
      <c r="B55" s="5">
        <v>150000000</v>
      </c>
      <c r="D55" s="4" t="s">
        <v>19</v>
      </c>
      <c r="E55" s="5">
        <v>130000000</v>
      </c>
    </row>
    <row r="56" spans="1:19" x14ac:dyDescent="0.3">
      <c r="A56" s="4">
        <v>2</v>
      </c>
      <c r="B56" s="5">
        <v>77500000</v>
      </c>
      <c r="D56" s="4" t="s">
        <v>1594</v>
      </c>
      <c r="E56" s="5">
        <v>260000000</v>
      </c>
    </row>
    <row r="57" spans="1:19" x14ac:dyDescent="0.3">
      <c r="A57" s="4">
        <v>1</v>
      </c>
      <c r="B57" s="5">
        <v>65000000</v>
      </c>
    </row>
    <row r="58" spans="1:19" x14ac:dyDescent="0.3">
      <c r="A58" s="4" t="s">
        <v>1594</v>
      </c>
      <c r="B58" s="5">
        <v>260000000</v>
      </c>
    </row>
    <row r="61" spans="1:19" x14ac:dyDescent="0.3">
      <c r="A61" s="12" t="s">
        <v>1620</v>
      </c>
      <c r="B61" s="12"/>
      <c r="D61" s="12" t="s">
        <v>1626</v>
      </c>
      <c r="E61" s="12"/>
    </row>
    <row r="62" spans="1:19" x14ac:dyDescent="0.3">
      <c r="A62" s="13" t="str">
        <f>$A$61&amp;" ("&amp;_xlfn.XLOOKUP(MAX($B$64:$B$70),$B$64:$B$70,$A$64:$A$70,"NA",0)&amp;" Leads with "&amp;MAX($B$64:$B$70)&amp;" Listings)"</f>
        <v>Sale Listings by Property Type (Detached Duplex Leads with 76 Listings)</v>
      </c>
      <c r="B62" s="13"/>
      <c r="D62" s="13" t="str">
        <f>$D$61&amp;" (Listings with "&amp;_xlfn.XLOOKUP(MAX($E$64:$E$72),$E$64:$E$72,$D$64:$D$72,"NA",0)&amp;" Bedrooms Leads with "&amp;MAX($E$64:$E$72)&amp;" Listings, which is "&amp;TEXT(MAX($E$64:$E$72)/SUM($E$64:$E$72),"#,##0.0%")&amp;" of Listings)"</f>
        <v>Sale Listings Count by Number of Bedrooms (Listings with 4 Bedrooms Leads with 79 Listings, which is 34.2% of Listings)</v>
      </c>
      <c r="E62" s="13"/>
    </row>
    <row r="63" spans="1:19" x14ac:dyDescent="0.3">
      <c r="A63" s="6" t="s">
        <v>1593</v>
      </c>
      <c r="B63" t="s">
        <v>1595</v>
      </c>
      <c r="D63" s="6" t="s">
        <v>1593</v>
      </c>
      <c r="E63" t="s">
        <v>1595</v>
      </c>
    </row>
    <row r="64" spans="1:19" x14ac:dyDescent="0.3">
      <c r="A64" s="4" t="s">
        <v>38</v>
      </c>
      <c r="B64" s="7">
        <v>76</v>
      </c>
      <c r="D64" s="4">
        <v>1</v>
      </c>
      <c r="E64" s="7">
        <v>3</v>
      </c>
      <c r="F64" s="2"/>
      <c r="G64" s="2"/>
      <c r="H64" s="2"/>
      <c r="I64" s="2"/>
      <c r="J64" s="2"/>
      <c r="K64" s="2"/>
      <c r="L64" s="2"/>
      <c r="M64" s="2"/>
      <c r="N64" s="2"/>
      <c r="O64" s="2"/>
      <c r="P64" s="2"/>
      <c r="Q64" s="2"/>
      <c r="R64" s="2"/>
      <c r="S64" s="2"/>
    </row>
    <row r="65" spans="1:19" x14ac:dyDescent="0.3">
      <c r="A65" s="4" t="s">
        <v>19</v>
      </c>
      <c r="B65" s="7">
        <v>63</v>
      </c>
      <c r="D65" s="4">
        <v>2</v>
      </c>
      <c r="E65" s="7">
        <v>24</v>
      </c>
      <c r="F65" s="5"/>
      <c r="G65" s="5"/>
      <c r="H65" s="5"/>
      <c r="I65" s="5"/>
      <c r="J65" s="5"/>
      <c r="K65" s="5"/>
      <c r="L65" s="5"/>
      <c r="M65" s="5"/>
      <c r="N65" s="5"/>
      <c r="O65" s="5"/>
      <c r="P65" s="5"/>
      <c r="Q65" s="5"/>
      <c r="R65" s="5"/>
      <c r="S65" s="5"/>
    </row>
    <row r="66" spans="1:19" x14ac:dyDescent="0.3">
      <c r="A66" s="4" t="s">
        <v>29</v>
      </c>
      <c r="B66" s="7">
        <v>34</v>
      </c>
      <c r="D66" s="4">
        <v>3</v>
      </c>
      <c r="E66" s="7">
        <v>51</v>
      </c>
      <c r="F66" s="5"/>
      <c r="G66" s="5"/>
      <c r="H66" s="5"/>
      <c r="I66" s="5"/>
      <c r="J66" s="5"/>
      <c r="K66" s="5"/>
      <c r="L66" s="5"/>
      <c r="M66" s="5"/>
      <c r="N66" s="5"/>
      <c r="O66" s="5"/>
      <c r="P66" s="5"/>
      <c r="Q66" s="5"/>
      <c r="R66" s="5"/>
      <c r="S66" s="5"/>
    </row>
    <row r="67" spans="1:19" x14ac:dyDescent="0.3">
      <c r="A67" s="4" t="s">
        <v>91</v>
      </c>
      <c r="B67" s="7">
        <v>25</v>
      </c>
      <c r="D67" s="4">
        <v>4</v>
      </c>
      <c r="E67" s="7">
        <v>79</v>
      </c>
      <c r="F67" s="5"/>
      <c r="G67" s="5"/>
      <c r="H67" s="5"/>
      <c r="I67" s="5"/>
      <c r="J67" s="5"/>
      <c r="K67" s="5"/>
      <c r="L67" s="5"/>
      <c r="M67" s="5"/>
      <c r="N67" s="5"/>
      <c r="O67" s="5"/>
      <c r="P67" s="5"/>
      <c r="Q67" s="5"/>
      <c r="R67" s="5"/>
      <c r="S67" s="5"/>
    </row>
    <row r="68" spans="1:19" x14ac:dyDescent="0.3">
      <c r="A68" s="4" t="s">
        <v>193</v>
      </c>
      <c r="B68" s="7">
        <v>17</v>
      </c>
      <c r="D68" s="4">
        <v>5</v>
      </c>
      <c r="E68" s="7">
        <v>47</v>
      </c>
      <c r="F68" s="5"/>
      <c r="G68" s="5"/>
      <c r="H68" s="5"/>
      <c r="I68" s="5"/>
      <c r="J68" s="5"/>
      <c r="K68" s="5"/>
      <c r="L68" s="5"/>
      <c r="M68" s="5"/>
      <c r="N68" s="5"/>
      <c r="O68" s="5"/>
      <c r="P68" s="5"/>
      <c r="Q68" s="5"/>
      <c r="R68" s="5"/>
      <c r="S68" s="5"/>
    </row>
    <row r="69" spans="1:19" x14ac:dyDescent="0.3">
      <c r="A69" s="4" t="s">
        <v>70</v>
      </c>
      <c r="B69" s="7">
        <v>15</v>
      </c>
      <c r="D69" s="4">
        <v>6</v>
      </c>
      <c r="E69" s="7">
        <v>9</v>
      </c>
      <c r="F69" s="5"/>
      <c r="G69" s="5"/>
      <c r="H69" s="5"/>
      <c r="I69" s="5"/>
      <c r="J69" s="5"/>
      <c r="K69" s="5"/>
      <c r="L69" s="5"/>
      <c r="M69" s="5"/>
      <c r="N69" s="5"/>
      <c r="O69" s="5"/>
      <c r="P69" s="5"/>
      <c r="Q69" s="5"/>
      <c r="R69" s="5"/>
      <c r="S69" s="5"/>
    </row>
    <row r="70" spans="1:19" x14ac:dyDescent="0.3">
      <c r="A70" s="4" t="s">
        <v>48</v>
      </c>
      <c r="B70" s="7">
        <v>1</v>
      </c>
      <c r="D70" s="4">
        <v>7</v>
      </c>
      <c r="E70" s="7">
        <v>10</v>
      </c>
      <c r="F70" s="5"/>
      <c r="G70" s="5"/>
      <c r="H70" s="5"/>
      <c r="I70" s="5"/>
      <c r="J70" s="5"/>
      <c r="K70" s="5"/>
      <c r="L70" s="5"/>
      <c r="M70" s="5"/>
      <c r="N70" s="5"/>
      <c r="O70" s="5"/>
      <c r="P70" s="5"/>
      <c r="R70" s="5"/>
      <c r="S70" s="5"/>
    </row>
    <row r="71" spans="1:19" x14ac:dyDescent="0.3">
      <c r="A71" s="4" t="s">
        <v>1594</v>
      </c>
      <c r="B71" s="7">
        <v>231</v>
      </c>
      <c r="D71" s="4">
        <v>8</v>
      </c>
      <c r="E71" s="7">
        <v>4</v>
      </c>
      <c r="F71" s="5"/>
      <c r="G71" s="5"/>
      <c r="H71" s="5"/>
      <c r="I71" s="5"/>
      <c r="J71" s="5"/>
      <c r="K71" s="5"/>
      <c r="L71" s="5"/>
      <c r="M71" s="5"/>
      <c r="N71" s="5"/>
      <c r="O71" s="5"/>
      <c r="P71" s="5"/>
      <c r="R71" s="5"/>
      <c r="S71" s="5"/>
    </row>
    <row r="72" spans="1:19" x14ac:dyDescent="0.3">
      <c r="D72" s="4">
        <v>10</v>
      </c>
      <c r="E72" s="7">
        <v>4</v>
      </c>
      <c r="F72" s="5"/>
      <c r="G72" s="5"/>
      <c r="H72" s="5"/>
      <c r="I72" s="5"/>
      <c r="J72" s="5"/>
      <c r="K72" s="5"/>
      <c r="L72" s="5"/>
      <c r="M72" s="5"/>
      <c r="N72" s="5"/>
      <c r="O72" s="5"/>
      <c r="P72" s="5"/>
      <c r="R72" s="5"/>
      <c r="S72" s="5"/>
    </row>
    <row r="73" spans="1:19" x14ac:dyDescent="0.3">
      <c r="F73" s="5"/>
      <c r="G73" s="5"/>
      <c r="H73" s="5"/>
      <c r="I73" s="5"/>
      <c r="J73" s="5"/>
      <c r="K73" s="5"/>
      <c r="L73" s="5"/>
      <c r="M73" s="5"/>
      <c r="N73" s="5"/>
      <c r="O73" s="5"/>
      <c r="P73" s="5"/>
      <c r="R73" s="5"/>
      <c r="S73" s="5"/>
    </row>
    <row r="74" spans="1:19" x14ac:dyDescent="0.3">
      <c r="D74" s="5"/>
      <c r="E74" s="5"/>
      <c r="F74" s="5"/>
      <c r="G74" s="5"/>
      <c r="H74" s="5"/>
      <c r="I74" s="5"/>
      <c r="J74" s="5"/>
      <c r="K74" s="5"/>
      <c r="L74" s="5"/>
      <c r="M74" s="5"/>
      <c r="N74" s="5"/>
      <c r="O74" s="5"/>
      <c r="R74" s="5"/>
      <c r="S74" s="5"/>
    </row>
    <row r="75" spans="1:19" x14ac:dyDescent="0.3">
      <c r="D75" s="5"/>
      <c r="E75" s="5"/>
      <c r="F75" s="5"/>
      <c r="G75" s="5"/>
      <c r="H75" s="5"/>
      <c r="I75" s="5"/>
      <c r="J75" s="5"/>
      <c r="K75" s="5"/>
      <c r="L75" s="5"/>
      <c r="M75" s="5"/>
      <c r="N75" s="5"/>
      <c r="O75" s="5"/>
      <c r="R75" s="5"/>
      <c r="S75" s="5"/>
    </row>
    <row r="76" spans="1:19" x14ac:dyDescent="0.3">
      <c r="D76" s="5"/>
      <c r="F76" s="5"/>
      <c r="G76" s="5"/>
      <c r="H76" s="5"/>
      <c r="I76" s="5"/>
      <c r="J76" s="5"/>
      <c r="K76" s="5"/>
      <c r="L76" s="5"/>
      <c r="M76" s="5"/>
      <c r="N76" s="5"/>
      <c r="O76" s="5"/>
      <c r="R76" s="5"/>
      <c r="S76" s="5"/>
    </row>
    <row r="77" spans="1:19" x14ac:dyDescent="0.3">
      <c r="D77" s="5"/>
      <c r="F77" s="5"/>
      <c r="G77" s="5"/>
      <c r="H77" s="5"/>
      <c r="I77" s="5"/>
      <c r="K77" s="5"/>
      <c r="M77" s="5"/>
      <c r="N77" s="5"/>
      <c r="O77" s="5"/>
      <c r="S77" s="5"/>
    </row>
    <row r="78" spans="1:19" x14ac:dyDescent="0.3">
      <c r="D78" s="5"/>
      <c r="F78" s="5"/>
      <c r="G78" s="5"/>
      <c r="H78" s="5"/>
      <c r="I78" s="5"/>
      <c r="K78" s="5"/>
      <c r="M78" s="5"/>
      <c r="N78" s="5"/>
      <c r="O78" s="5"/>
      <c r="S78" s="5"/>
    </row>
    <row r="79" spans="1:19" x14ac:dyDescent="0.3">
      <c r="D79" s="5"/>
      <c r="F79" s="5"/>
      <c r="G79" s="5"/>
      <c r="H79" s="5"/>
      <c r="I79" s="5"/>
      <c r="K79" s="5"/>
      <c r="N79" s="5"/>
      <c r="O79" s="5"/>
      <c r="S79" s="5"/>
    </row>
    <row r="80" spans="1:19" x14ac:dyDescent="0.3">
      <c r="D80" s="5"/>
      <c r="F80" s="5"/>
      <c r="G80" s="5"/>
      <c r="I80" s="5"/>
      <c r="K80" s="5"/>
      <c r="N80" s="5"/>
      <c r="O80" s="5"/>
    </row>
    <row r="81" spans="6:15" x14ac:dyDescent="0.3">
      <c r="F81" s="5">
        <v>250000000</v>
      </c>
      <c r="G81" s="5">
        <v>225000000</v>
      </c>
      <c r="I81" s="5">
        <v>155000000</v>
      </c>
      <c r="K81" s="5">
        <v>200000000</v>
      </c>
      <c r="N81" s="5">
        <v>230000000</v>
      </c>
      <c r="O81" s="5">
        <v>60000000</v>
      </c>
    </row>
    <row r="82" spans="6:15" x14ac:dyDescent="0.3">
      <c r="F82" s="5">
        <v>400000000</v>
      </c>
      <c r="G82" s="5">
        <v>185000000</v>
      </c>
      <c r="I82" s="5">
        <v>270000000</v>
      </c>
      <c r="N82" s="5">
        <v>250000000</v>
      </c>
      <c r="O82" s="5">
        <v>95000000</v>
      </c>
    </row>
    <row r="83" spans="6:15" x14ac:dyDescent="0.3">
      <c r="G83" s="5">
        <v>290000000</v>
      </c>
      <c r="O83" s="5">
        <v>235000000</v>
      </c>
    </row>
    <row r="84" spans="6:15" x14ac:dyDescent="0.3">
      <c r="O84" s="5">
        <v>180000000</v>
      </c>
    </row>
  </sheetData>
  <mergeCells count="14">
    <mergeCell ref="A24:B24"/>
    <mergeCell ref="A2:B2"/>
    <mergeCell ref="A25:B25"/>
    <mergeCell ref="A3:B3"/>
    <mergeCell ref="D2:E2"/>
    <mergeCell ref="D3:E3"/>
    <mergeCell ref="A61:B61"/>
    <mergeCell ref="A62:B62"/>
    <mergeCell ref="D61:E61"/>
    <mergeCell ref="D62:E62"/>
    <mergeCell ref="A46:B46"/>
    <mergeCell ref="A47:B47"/>
    <mergeCell ref="D46:E46"/>
    <mergeCell ref="D47:E47"/>
  </mergeCells>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C6200-A255-4E94-A625-6210F41FC3F9}">
  <sheetPr codeName="Sheet9">
    <tabColor theme="4" tint="-0.249977111117893"/>
  </sheetPr>
  <dimension ref="A1"/>
  <sheetViews>
    <sheetView showGridLines="0" showRowColHeaders="0" workbookViewId="0">
      <selection activeCell="B1" sqref="B1"/>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C94B8-61E9-401F-A4E5-DADAA56293F2}">
  <sheetPr codeName="Sheet10">
    <tabColor theme="4" tint="-0.249977111117893"/>
  </sheetPr>
  <dimension ref="A1"/>
  <sheetViews>
    <sheetView showGridLines="0" showRowColHeaders="0" workbookViewId="0">
      <selection activeCell="P1" sqref="P1"/>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7922A8B5-760A-4D3D-A70D-D7C98D0B2308}">
  <ds:schemaRefs/>
</ds:datastoreItem>
</file>

<file path=customXml/itemProps2.xml><?xml version="1.0" encoding="utf-8"?>
<ds:datastoreItem xmlns:ds="http://schemas.openxmlformats.org/officeDocument/2006/customXml" ds:itemID="{C46EF95B-2528-47EA-A305-5355459C0355}">
  <ds:schemaRefs/>
</ds:datastoreItem>
</file>

<file path=customXml/itemProps3.xml><?xml version="1.0" encoding="utf-8"?>
<ds:datastoreItem xmlns:ds="http://schemas.openxmlformats.org/officeDocument/2006/customXml" ds:itemID="{65722C00-5CAB-4A47-A965-BC0C99B2121A}">
  <ds:schemaRefs/>
</ds:datastoreItem>
</file>

<file path=customXml/itemProps4.xml><?xml version="1.0" encoding="utf-8"?>
<ds:datastoreItem xmlns:ds="http://schemas.openxmlformats.org/officeDocument/2006/customXml" ds:itemID="{30EDEACC-B38D-4A60-8E94-E0EFDC58DDA5}">
  <ds:schemaRefs/>
</ds:datastoreItem>
</file>

<file path=customXml/itemProps5.xml><?xml version="1.0" encoding="utf-8"?>
<ds:datastoreItem xmlns:ds="http://schemas.openxmlformats.org/officeDocument/2006/customXml" ds:itemID="{EF655FFB-9083-49C1-8303-7270FDAEBB19}">
  <ds:schemaRefs/>
</ds:datastoreItem>
</file>

<file path=customXml/itemProps6.xml><?xml version="1.0" encoding="utf-8"?>
<ds:datastoreItem xmlns:ds="http://schemas.openxmlformats.org/officeDocument/2006/customXml" ds:itemID="{3D3F3590-48F7-48D1-8BF2-A7F28E6BA060}">
  <ds:schemaRefs/>
</ds:datastoreItem>
</file>

<file path=customXml/itemProps7.xml><?xml version="1.0" encoding="utf-8"?>
<ds:datastoreItem xmlns:ds="http://schemas.openxmlformats.org/officeDocument/2006/customXml" ds:itemID="{B094E51F-4436-4F2A-85A8-A0CC4FEA7316}">
  <ds:schemaRefs/>
</ds:datastoreItem>
</file>

<file path=customXml/itemProps8.xml><?xml version="1.0" encoding="utf-8"?>
<ds:datastoreItem xmlns:ds="http://schemas.openxmlformats.org/officeDocument/2006/customXml" ds:itemID="{7B059325-9E2F-408B-991E-AA613345979B}">
  <ds:schemaRefs/>
</ds:datastoreItem>
</file>

<file path=customXml/itemProps9.xml><?xml version="1.0" encoding="utf-8"?>
<ds:datastoreItem xmlns:ds="http://schemas.openxmlformats.org/officeDocument/2006/customXml" ds:itemID="{C714BE71-E8A7-4FB0-9A99-A6DC28BD42B9}">
  <ds:schemaRefs/>
</ds:datastoreItem>
</file>

<file path=customXml/itemProps10.xml><?xml version="1.0" encoding="utf-8"?>
<ds:datastoreItem xmlns:ds="http://schemas.openxmlformats.org/officeDocument/2006/customXml" ds:itemID="{A70D8714-CCF6-454D-A329-21FBAB25FABF}">
  <ds:schemaRefs/>
</ds:datastoreItem>
</file>

<file path=customXml/itemProps11.xml><?xml version="1.0" encoding="utf-8"?>
<ds:datastoreItem xmlns:ds="http://schemas.openxmlformats.org/officeDocument/2006/customXml" ds:itemID="{878B74F2-3A74-4021-A745-F6B163876C55}">
  <ds:schemaRefs/>
</ds:datastoreItem>
</file>

<file path=customXml/itemProps12.xml><?xml version="1.0" encoding="utf-8"?>
<ds:datastoreItem xmlns:ds="http://schemas.openxmlformats.org/officeDocument/2006/customXml" ds:itemID="{2271EF69-F06A-4F03-A27F-0D9007EEF5EC}">
  <ds:schemaRefs/>
</ds:datastoreItem>
</file>

<file path=customXml/itemProps13.xml><?xml version="1.0" encoding="utf-8"?>
<ds:datastoreItem xmlns:ds="http://schemas.openxmlformats.org/officeDocument/2006/customXml" ds:itemID="{B0018182-EE8F-4EB0-8B03-AA7A56C42053}">
  <ds:schemaRefs/>
</ds:datastoreItem>
</file>

<file path=customXml/itemProps14.xml><?xml version="1.0" encoding="utf-8"?>
<ds:datastoreItem xmlns:ds="http://schemas.openxmlformats.org/officeDocument/2006/customXml" ds:itemID="{35A08AE1-79C4-4DD9-A08E-ABB375E329BC}">
  <ds:schemaRefs/>
</ds:datastoreItem>
</file>

<file path=customXml/itemProps15.xml><?xml version="1.0" encoding="utf-8"?>
<ds:datastoreItem xmlns:ds="http://schemas.openxmlformats.org/officeDocument/2006/customXml" ds:itemID="{C9403E9C-CAB9-46A7-AB7C-F332911F67DA}">
  <ds:schemaRefs/>
</ds:datastoreItem>
</file>

<file path=customXml/itemProps16.xml><?xml version="1.0" encoding="utf-8"?>
<ds:datastoreItem xmlns:ds="http://schemas.openxmlformats.org/officeDocument/2006/customXml" ds:itemID="{E6EB4EB1-056E-4054-8083-272568803B86}">
  <ds:schemaRefs/>
</ds:datastoreItem>
</file>

<file path=customXml/itemProps17.xml><?xml version="1.0" encoding="utf-8"?>
<ds:datastoreItem xmlns:ds="http://schemas.openxmlformats.org/officeDocument/2006/customXml" ds:itemID="{5A5BFBC1-EE71-44D1-BAA6-87F3E3575C69}">
  <ds:schemaRefs/>
</ds:datastoreItem>
</file>

<file path=customXml/itemProps18.xml><?xml version="1.0" encoding="utf-8"?>
<ds:datastoreItem xmlns:ds="http://schemas.openxmlformats.org/officeDocument/2006/customXml" ds:itemID="{C361A3FA-CBDF-4B50-9387-CF7EA5127745}">
  <ds:schemaRefs/>
</ds:datastoreItem>
</file>

<file path=customXml/itemProps19.xml><?xml version="1.0" encoding="utf-8"?>
<ds:datastoreItem xmlns:ds="http://schemas.openxmlformats.org/officeDocument/2006/customXml" ds:itemID="{303B5B79-E38B-4B81-A991-C5EF91895809}">
  <ds:schemaRefs/>
</ds:datastoreItem>
</file>

<file path=customXml/itemProps20.xml><?xml version="1.0" encoding="utf-8"?>
<ds:datastoreItem xmlns:ds="http://schemas.openxmlformats.org/officeDocument/2006/customXml" ds:itemID="{2CBE51AB-86E0-4F7E-98BD-538C6CA63BA6}">
  <ds:schemaRefs/>
</ds:datastoreItem>
</file>

<file path=customXml/itemProps21.xml><?xml version="1.0" encoding="utf-8"?>
<ds:datastoreItem xmlns:ds="http://schemas.openxmlformats.org/officeDocument/2006/customXml" ds:itemID="{33E6CCFE-1CB3-4624-B0A7-98001A4734FB}">
  <ds:schemaRefs/>
</ds:datastoreItem>
</file>

<file path=customXml/itemProps22.xml><?xml version="1.0" encoding="utf-8"?>
<ds:datastoreItem xmlns:ds="http://schemas.openxmlformats.org/officeDocument/2006/customXml" ds:itemID="{30DFE7E3-FE68-4C8B-81FC-76EC3803BA42}">
  <ds:schemaRefs/>
</ds:datastoreItem>
</file>

<file path=customXml/itemProps23.xml><?xml version="1.0" encoding="utf-8"?>
<ds:datastoreItem xmlns:ds="http://schemas.openxmlformats.org/officeDocument/2006/customXml" ds:itemID="{B521C2D4-F6C3-4259-8E29-3D4422ED6D3D}">
  <ds:schemaRefs/>
</ds:datastoreItem>
</file>

<file path=customXml/itemProps24.xml><?xml version="1.0" encoding="utf-8"?>
<ds:datastoreItem xmlns:ds="http://schemas.openxmlformats.org/officeDocument/2006/customXml" ds:itemID="{DA748EB9-4610-48B4-BEC0-53B006FA5AE9}">
  <ds:schemaRefs/>
</ds:datastoreItem>
</file>

<file path=customXml/itemProps25.xml><?xml version="1.0" encoding="utf-8"?>
<ds:datastoreItem xmlns:ds="http://schemas.openxmlformats.org/officeDocument/2006/customXml" ds:itemID="{F5066A2C-9849-437A-88D1-31A6BC97ADF0}">
  <ds:schemaRefs/>
</ds:datastoreItem>
</file>

<file path=customXml/itemProps26.xml><?xml version="1.0" encoding="utf-8"?>
<ds:datastoreItem xmlns:ds="http://schemas.openxmlformats.org/officeDocument/2006/customXml" ds:itemID="{5A91B17B-0C3F-485A-8BBE-0124A6C9A6A0}">
  <ds:schemaRefs/>
</ds:datastoreItem>
</file>

<file path=customXml/itemProps27.xml><?xml version="1.0" encoding="utf-8"?>
<ds:datastoreItem xmlns:ds="http://schemas.openxmlformats.org/officeDocument/2006/customXml" ds:itemID="{9D347A61-BEB1-4BAB-8490-FA4CDAD076B2}">
  <ds:schemaRefs/>
</ds:datastoreItem>
</file>

<file path=customXml/itemProps28.xml><?xml version="1.0" encoding="utf-8"?>
<ds:datastoreItem xmlns:ds="http://schemas.openxmlformats.org/officeDocument/2006/customXml" ds:itemID="{D93DAC72-3D57-4B71-9558-5128D8702931}">
  <ds:schemaRefs/>
</ds:datastoreItem>
</file>

<file path=customXml/itemProps29.xml><?xml version="1.0" encoding="utf-8"?>
<ds:datastoreItem xmlns:ds="http://schemas.openxmlformats.org/officeDocument/2006/customXml" ds:itemID="{12D02934-616F-42C1-B0B2-3AA73A0AEA5B}">
  <ds:schemaRefs/>
</ds:datastoreItem>
</file>

<file path=customXml/itemProps30.xml><?xml version="1.0" encoding="utf-8"?>
<ds:datastoreItem xmlns:ds="http://schemas.openxmlformats.org/officeDocument/2006/customXml" ds:itemID="{319C653C-3275-470A-B6C7-323873055BB8}">
  <ds:schemaRefs/>
</ds:datastoreItem>
</file>

<file path=customXml/itemProps31.xml><?xml version="1.0" encoding="utf-8"?>
<ds:datastoreItem xmlns:ds="http://schemas.openxmlformats.org/officeDocument/2006/customXml" ds:itemID="{2FEEA2FA-FE9E-41B4-991A-667364A39920}">
  <ds:schemaRefs/>
</ds:datastoreItem>
</file>

<file path=customXml/itemProps32.xml><?xml version="1.0" encoding="utf-8"?>
<ds:datastoreItem xmlns:ds="http://schemas.openxmlformats.org/officeDocument/2006/customXml" ds:itemID="{7DFB88B6-3031-4466-B952-C07663A174CC}">
  <ds:schemaRefs/>
</ds:datastoreItem>
</file>

<file path=customXml/itemProps33.xml><?xml version="1.0" encoding="utf-8"?>
<ds:datastoreItem xmlns:ds="http://schemas.openxmlformats.org/officeDocument/2006/customXml" ds:itemID="{C4D395CF-1FDA-4BA8-8979-1C7D19617434}">
  <ds:schemaRefs/>
</ds:datastoreItem>
</file>

<file path=customXml/itemProps34.xml><?xml version="1.0" encoding="utf-8"?>
<ds:datastoreItem xmlns:ds="http://schemas.openxmlformats.org/officeDocument/2006/customXml" ds:itemID="{61DC52EF-9929-4BAF-BA9B-9183B06702EE}">
  <ds:schemaRefs/>
</ds:datastoreItem>
</file>

<file path=customXml/itemProps35.xml><?xml version="1.0" encoding="utf-8"?>
<ds:datastoreItem xmlns:ds="http://schemas.openxmlformats.org/officeDocument/2006/customXml" ds:itemID="{738ADFBA-F372-427E-B46F-57482613B783}">
  <ds:schemaRefs/>
</ds:datastoreItem>
</file>

<file path=customXml/itemProps36.xml><?xml version="1.0" encoding="utf-8"?>
<ds:datastoreItem xmlns:ds="http://schemas.openxmlformats.org/officeDocument/2006/customXml" ds:itemID="{F8509F86-FA5C-4D90-A604-16B138EB0351}">
  <ds:schemaRefs/>
</ds:datastoreItem>
</file>

<file path=customXml/itemProps37.xml><?xml version="1.0" encoding="utf-8"?>
<ds:datastoreItem xmlns:ds="http://schemas.openxmlformats.org/officeDocument/2006/customXml" ds:itemID="{796173FD-DC44-4F08-A3DD-1734E01C276C}">
  <ds:schemaRefs/>
</ds:datastoreItem>
</file>

<file path=customXml/itemProps38.xml><?xml version="1.0" encoding="utf-8"?>
<ds:datastoreItem xmlns:ds="http://schemas.openxmlformats.org/officeDocument/2006/customXml" ds:itemID="{3236C8E3-0B1C-4ADF-9A62-7C17D50867E3}">
  <ds:schemaRefs/>
</ds:datastoreItem>
</file>

<file path=customXml/itemProps39.xml><?xml version="1.0" encoding="utf-8"?>
<ds:datastoreItem xmlns:ds="http://schemas.openxmlformats.org/officeDocument/2006/customXml" ds:itemID="{870DD8EC-48C5-44E0-BBB9-96128B1BB1F9}">
  <ds:schemaRefs/>
</ds:datastoreItem>
</file>

<file path=customXml/itemProps40.xml><?xml version="1.0" encoding="utf-8"?>
<ds:datastoreItem xmlns:ds="http://schemas.openxmlformats.org/officeDocument/2006/customXml" ds:itemID="{52863F34-F520-4192-9FE8-A8A5449A2509}">
  <ds:schemaRefs/>
</ds:datastoreItem>
</file>

<file path=customXml/itemProps41.xml><?xml version="1.0" encoding="utf-8"?>
<ds:datastoreItem xmlns:ds="http://schemas.openxmlformats.org/officeDocument/2006/customXml" ds:itemID="{D009799B-D794-4B54-97AD-D7983E3AA9AE}">
  <ds:schemaRefs/>
</ds:datastoreItem>
</file>

<file path=customXml/itemProps42.xml><?xml version="1.0" encoding="utf-8"?>
<ds:datastoreItem xmlns:ds="http://schemas.openxmlformats.org/officeDocument/2006/customXml" ds:itemID="{63E84143-9044-4CB1-90E2-AA96E4F1621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groundwork_abuja_housing_v1</vt:lpstr>
      <vt:lpstr>Landing Page</vt:lpstr>
      <vt:lpstr>Rent Data </vt:lpstr>
      <vt:lpstr>Sale Data</vt:lpstr>
      <vt:lpstr>Pivot Table Rent</vt:lpstr>
      <vt:lpstr>Rent Dashboard 1</vt:lpstr>
      <vt:lpstr>Rent Dashboard 2</vt:lpstr>
      <vt:lpstr>Pivot Table Sale</vt:lpstr>
      <vt:lpstr>Sale Dashboard 1</vt:lpstr>
      <vt:lpstr>Sale Dashboard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Emmy Jakes</cp:lastModifiedBy>
  <dcterms:created xsi:type="dcterms:W3CDTF">2026-10-07T23:18:15Z</dcterms:created>
  <dcterms:modified xsi:type="dcterms:W3CDTF">2026-10-26T09:53:13Z</dcterms:modified>
</cp:coreProperties>
</file>